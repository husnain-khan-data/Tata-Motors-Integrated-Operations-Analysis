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user\Desktop\DA05-project\"/>
    </mc:Choice>
  </mc:AlternateContent>
  <xr:revisionPtr revIDLastSave="0" documentId="13_ncr:1_{E58F21B8-D64B-47A3-80A4-B7D3F94EC879}" xr6:coauthVersionLast="47" xr6:coauthVersionMax="47" xr10:uidLastSave="{00000000-0000-0000-0000-000000000000}"/>
  <bookViews>
    <workbookView xWindow="-120" yWindow="-120" windowWidth="20730" windowHeight="11160" firstSheet="5" activeTab="5" xr2:uid="{20F24DD4-D1F1-433C-B8BE-B4164048C325}"/>
  </bookViews>
  <sheets>
    <sheet name="Status" sheetId="8" r:id="rId1"/>
    <sheet name="Pivot_Avg_Weight" sheetId="9" r:id="rId2"/>
    <sheet name="Shipment_Domain_Comparison" sheetId="12" r:id="rId3"/>
    <sheet name="Avg_delivery_time" sheetId="20" r:id="rId4"/>
    <sheet name="Shipment_efficiency_analysis" sheetId="23" r:id="rId5"/>
    <sheet name="Shipment_Details" sheetId="7" r:id="rId6"/>
    <sheet name="Top_5_Customer" sheetId="11" r:id="rId7"/>
    <sheet name="Payment_Summary_PT" sheetId="14" r:id="rId8"/>
    <sheet name="Dynamic_payment_analysis" sheetId="17" r:id="rId9"/>
    <sheet name="Payment_Details" sheetId="6" r:id="rId10"/>
    <sheet name="Membership" sheetId="5" r:id="rId11"/>
    <sheet name="Top_5_Employees" sheetId="13" r:id="rId12"/>
    <sheet name="Employee_Shipment_Count" sheetId="15" r:id="rId13"/>
    <sheet name="Designation_shipment_charge" sheetId="21" r:id="rId14"/>
    <sheet name="employee_manages_shipment" sheetId="4" r:id="rId15"/>
    <sheet name="Employee_Details" sheetId="3" r:id="rId16"/>
    <sheet name="Customer" sheetId="2" r:id="rId17"/>
    <sheet name="Sheet1" sheetId="1" r:id="rId18"/>
  </sheets>
  <definedNames>
    <definedName name="ExternalData_1" localSheetId="16" hidden="1">'Customer'!$A$1:$G$201</definedName>
    <definedName name="ExternalData_2" localSheetId="15" hidden="1">Employee_Details!$A$1:$F$201</definedName>
    <definedName name="ExternalData_3" localSheetId="14" hidden="1">employee_manages_shipment!$A$1:$C$201</definedName>
    <definedName name="ExternalData_4" localSheetId="10" hidden="1">Membership!$A$1:$C$201</definedName>
    <definedName name="ExternalData_5" localSheetId="9" hidden="1">Payment_Details!$A$1:$G$201</definedName>
    <definedName name="ExternalData_6" localSheetId="5" hidden="1">Shipment_Details!$A$1:$I$201</definedName>
    <definedName name="ExternalData_7" localSheetId="0" hidden="1">Status!$A$1:$D$201</definedName>
    <definedName name="Slicer_Designation">#N/A</definedName>
    <definedName name="Slicer_SER_TYPE">#N/A</definedName>
    <definedName name="Slicer_SH_DOMAIN">#N/A</definedName>
  </definedNames>
  <calcPr calcId="191029"/>
  <pivotCaches>
    <pivotCache cacheId="0" r:id="rId19"/>
    <pivotCache cacheId="1" r:id="rId20"/>
    <pivotCache cacheId="2" r:id="rId21"/>
  </pivotCaches>
  <extLs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7" l="1"/>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E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D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N5" i="7"/>
  <c r="N9" i="7"/>
  <c r="N13" i="7"/>
  <c r="N17" i="7"/>
  <c r="N21" i="7"/>
  <c r="N25" i="7"/>
  <c r="N29" i="7"/>
  <c r="N33" i="7"/>
  <c r="N37" i="7"/>
  <c r="N41" i="7"/>
  <c r="N45" i="7"/>
  <c r="N49" i="7"/>
  <c r="N53" i="7"/>
  <c r="N57" i="7"/>
  <c r="N61" i="7"/>
  <c r="N65" i="7"/>
  <c r="N69" i="7"/>
  <c r="N73" i="7"/>
  <c r="N77" i="7"/>
  <c r="N81" i="7"/>
  <c r="N85" i="7"/>
  <c r="N89" i="7"/>
  <c r="N93" i="7"/>
  <c r="N97" i="7"/>
  <c r="N101" i="7"/>
  <c r="N105" i="7"/>
  <c r="N109" i="7"/>
  <c r="N113" i="7"/>
  <c r="N117" i="7"/>
  <c r="N121" i="7"/>
  <c r="N125" i="7"/>
  <c r="N129" i="7"/>
  <c r="N133" i="7"/>
  <c r="N137" i="7"/>
  <c r="N141" i="7"/>
  <c r="N145" i="7"/>
  <c r="N149" i="7"/>
  <c r="N153" i="7"/>
  <c r="N157" i="7"/>
  <c r="N161" i="7"/>
  <c r="N165" i="7"/>
  <c r="N169" i="7"/>
  <c r="N173" i="7"/>
  <c r="N177" i="7"/>
  <c r="N181" i="7"/>
  <c r="N185" i="7"/>
  <c r="N189" i="7"/>
  <c r="N193" i="7"/>
  <c r="N197" i="7"/>
  <c r="N201" i="7"/>
  <c r="M2"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L2" i="3"/>
  <c r="K2" i="3"/>
  <c r="J2" i="3"/>
  <c r="I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H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L2" i="7"/>
  <c r="N2" i="7" s="1"/>
  <c r="L3" i="7"/>
  <c r="N3" i="7" s="1"/>
  <c r="L4" i="7"/>
  <c r="N4" i="7" s="1"/>
  <c r="L5" i="7"/>
  <c r="L6" i="7"/>
  <c r="N6" i="7" s="1"/>
  <c r="L7" i="7"/>
  <c r="N7" i="7" s="1"/>
  <c r="L8" i="7"/>
  <c r="N8" i="7" s="1"/>
  <c r="L9" i="7"/>
  <c r="L10" i="7"/>
  <c r="N10" i="7" s="1"/>
  <c r="L11" i="7"/>
  <c r="N11" i="7" s="1"/>
  <c r="L12" i="7"/>
  <c r="N12" i="7" s="1"/>
  <c r="L13" i="7"/>
  <c r="L14" i="7"/>
  <c r="N14" i="7" s="1"/>
  <c r="L15" i="7"/>
  <c r="N15" i="7" s="1"/>
  <c r="L16" i="7"/>
  <c r="N16" i="7" s="1"/>
  <c r="L17" i="7"/>
  <c r="L18" i="7"/>
  <c r="N18" i="7" s="1"/>
  <c r="L19" i="7"/>
  <c r="N19" i="7" s="1"/>
  <c r="L20" i="7"/>
  <c r="N20" i="7" s="1"/>
  <c r="L21" i="7"/>
  <c r="L22" i="7"/>
  <c r="N22" i="7" s="1"/>
  <c r="L23" i="7"/>
  <c r="N23" i="7" s="1"/>
  <c r="L24" i="7"/>
  <c r="N24" i="7" s="1"/>
  <c r="L25" i="7"/>
  <c r="L26" i="7"/>
  <c r="N26" i="7" s="1"/>
  <c r="L27" i="7"/>
  <c r="N27" i="7" s="1"/>
  <c r="L28" i="7"/>
  <c r="N28" i="7" s="1"/>
  <c r="L29" i="7"/>
  <c r="L30" i="7"/>
  <c r="N30" i="7" s="1"/>
  <c r="L31" i="7"/>
  <c r="N31" i="7" s="1"/>
  <c r="L32" i="7"/>
  <c r="N32" i="7" s="1"/>
  <c r="L33" i="7"/>
  <c r="L34" i="7"/>
  <c r="N34" i="7" s="1"/>
  <c r="L35" i="7"/>
  <c r="N35" i="7" s="1"/>
  <c r="L36" i="7"/>
  <c r="N36" i="7" s="1"/>
  <c r="L37" i="7"/>
  <c r="L38" i="7"/>
  <c r="N38" i="7" s="1"/>
  <c r="L39" i="7"/>
  <c r="N39" i="7" s="1"/>
  <c r="L40" i="7"/>
  <c r="N40" i="7" s="1"/>
  <c r="L41" i="7"/>
  <c r="L42" i="7"/>
  <c r="N42" i="7" s="1"/>
  <c r="L43" i="7"/>
  <c r="N43" i="7" s="1"/>
  <c r="L44" i="7"/>
  <c r="N44" i="7" s="1"/>
  <c r="L45" i="7"/>
  <c r="L46" i="7"/>
  <c r="N46" i="7" s="1"/>
  <c r="L47" i="7"/>
  <c r="N47" i="7" s="1"/>
  <c r="L48" i="7"/>
  <c r="N48" i="7" s="1"/>
  <c r="L49" i="7"/>
  <c r="L50" i="7"/>
  <c r="N50" i="7" s="1"/>
  <c r="L51" i="7"/>
  <c r="N51" i="7" s="1"/>
  <c r="L52" i="7"/>
  <c r="N52" i="7" s="1"/>
  <c r="L53" i="7"/>
  <c r="L54" i="7"/>
  <c r="N54" i="7" s="1"/>
  <c r="L55" i="7"/>
  <c r="N55" i="7" s="1"/>
  <c r="L56" i="7"/>
  <c r="N56" i="7" s="1"/>
  <c r="L57" i="7"/>
  <c r="L58" i="7"/>
  <c r="N58" i="7" s="1"/>
  <c r="L59" i="7"/>
  <c r="N59" i="7" s="1"/>
  <c r="L60" i="7"/>
  <c r="N60" i="7" s="1"/>
  <c r="L61" i="7"/>
  <c r="L62" i="7"/>
  <c r="N62" i="7" s="1"/>
  <c r="L63" i="7"/>
  <c r="N63" i="7" s="1"/>
  <c r="L64" i="7"/>
  <c r="N64" i="7" s="1"/>
  <c r="L65" i="7"/>
  <c r="L66" i="7"/>
  <c r="N66" i="7" s="1"/>
  <c r="L67" i="7"/>
  <c r="N67" i="7" s="1"/>
  <c r="L68" i="7"/>
  <c r="N68" i="7" s="1"/>
  <c r="L69" i="7"/>
  <c r="L70" i="7"/>
  <c r="N70" i="7" s="1"/>
  <c r="L71" i="7"/>
  <c r="N71" i="7" s="1"/>
  <c r="L72" i="7"/>
  <c r="N72" i="7" s="1"/>
  <c r="L73" i="7"/>
  <c r="L74" i="7"/>
  <c r="N74" i="7" s="1"/>
  <c r="L75" i="7"/>
  <c r="N75" i="7" s="1"/>
  <c r="L76" i="7"/>
  <c r="N76" i="7" s="1"/>
  <c r="L77" i="7"/>
  <c r="L78" i="7"/>
  <c r="N78" i="7" s="1"/>
  <c r="L79" i="7"/>
  <c r="N79" i="7" s="1"/>
  <c r="L80" i="7"/>
  <c r="N80" i="7" s="1"/>
  <c r="L81" i="7"/>
  <c r="L82" i="7"/>
  <c r="N82" i="7" s="1"/>
  <c r="L83" i="7"/>
  <c r="N83" i="7" s="1"/>
  <c r="L84" i="7"/>
  <c r="N84" i="7" s="1"/>
  <c r="L85" i="7"/>
  <c r="L86" i="7"/>
  <c r="N86" i="7" s="1"/>
  <c r="L87" i="7"/>
  <c r="N87" i="7" s="1"/>
  <c r="L88" i="7"/>
  <c r="N88" i="7" s="1"/>
  <c r="L89" i="7"/>
  <c r="L90" i="7"/>
  <c r="N90" i="7" s="1"/>
  <c r="L91" i="7"/>
  <c r="N91" i="7" s="1"/>
  <c r="L92" i="7"/>
  <c r="N92" i="7" s="1"/>
  <c r="L93" i="7"/>
  <c r="L94" i="7"/>
  <c r="N94" i="7" s="1"/>
  <c r="L95" i="7"/>
  <c r="N95" i="7" s="1"/>
  <c r="L96" i="7"/>
  <c r="N96" i="7" s="1"/>
  <c r="L97" i="7"/>
  <c r="L98" i="7"/>
  <c r="N98" i="7" s="1"/>
  <c r="L99" i="7"/>
  <c r="N99" i="7" s="1"/>
  <c r="L100" i="7"/>
  <c r="N100" i="7" s="1"/>
  <c r="L101" i="7"/>
  <c r="L102" i="7"/>
  <c r="N102" i="7" s="1"/>
  <c r="L103" i="7"/>
  <c r="N103" i="7" s="1"/>
  <c r="L104" i="7"/>
  <c r="N104" i="7" s="1"/>
  <c r="L105" i="7"/>
  <c r="L106" i="7"/>
  <c r="N106" i="7" s="1"/>
  <c r="L107" i="7"/>
  <c r="N107" i="7" s="1"/>
  <c r="L108" i="7"/>
  <c r="N108" i="7" s="1"/>
  <c r="L109" i="7"/>
  <c r="L110" i="7"/>
  <c r="N110" i="7" s="1"/>
  <c r="L111" i="7"/>
  <c r="N111" i="7" s="1"/>
  <c r="L112" i="7"/>
  <c r="N112" i="7" s="1"/>
  <c r="L113" i="7"/>
  <c r="L114" i="7"/>
  <c r="N114" i="7" s="1"/>
  <c r="L115" i="7"/>
  <c r="N115" i="7" s="1"/>
  <c r="L116" i="7"/>
  <c r="N116" i="7" s="1"/>
  <c r="L117" i="7"/>
  <c r="L118" i="7"/>
  <c r="N118" i="7" s="1"/>
  <c r="L119" i="7"/>
  <c r="N119" i="7" s="1"/>
  <c r="L120" i="7"/>
  <c r="N120" i="7" s="1"/>
  <c r="L121" i="7"/>
  <c r="L122" i="7"/>
  <c r="N122" i="7" s="1"/>
  <c r="L123" i="7"/>
  <c r="N123" i="7" s="1"/>
  <c r="L124" i="7"/>
  <c r="N124" i="7" s="1"/>
  <c r="L125" i="7"/>
  <c r="L126" i="7"/>
  <c r="N126" i="7" s="1"/>
  <c r="L127" i="7"/>
  <c r="N127" i="7" s="1"/>
  <c r="L128" i="7"/>
  <c r="N128" i="7" s="1"/>
  <c r="L129" i="7"/>
  <c r="L130" i="7"/>
  <c r="N130" i="7" s="1"/>
  <c r="L131" i="7"/>
  <c r="N131" i="7" s="1"/>
  <c r="L132" i="7"/>
  <c r="N132" i="7" s="1"/>
  <c r="L133" i="7"/>
  <c r="L134" i="7"/>
  <c r="N134" i="7" s="1"/>
  <c r="L135" i="7"/>
  <c r="N135" i="7" s="1"/>
  <c r="L136" i="7"/>
  <c r="N136" i="7" s="1"/>
  <c r="L137" i="7"/>
  <c r="L138" i="7"/>
  <c r="N138" i="7" s="1"/>
  <c r="L139" i="7"/>
  <c r="N139" i="7" s="1"/>
  <c r="L140" i="7"/>
  <c r="N140" i="7" s="1"/>
  <c r="L141" i="7"/>
  <c r="L142" i="7"/>
  <c r="N142" i="7" s="1"/>
  <c r="L143" i="7"/>
  <c r="N143" i="7" s="1"/>
  <c r="L144" i="7"/>
  <c r="N144" i="7" s="1"/>
  <c r="L145" i="7"/>
  <c r="L146" i="7"/>
  <c r="N146" i="7" s="1"/>
  <c r="L147" i="7"/>
  <c r="N147" i="7" s="1"/>
  <c r="L148" i="7"/>
  <c r="N148" i="7" s="1"/>
  <c r="L149" i="7"/>
  <c r="L150" i="7"/>
  <c r="N150" i="7" s="1"/>
  <c r="L151" i="7"/>
  <c r="N151" i="7" s="1"/>
  <c r="L152" i="7"/>
  <c r="N152" i="7" s="1"/>
  <c r="L153" i="7"/>
  <c r="L154" i="7"/>
  <c r="N154" i="7" s="1"/>
  <c r="L155" i="7"/>
  <c r="N155" i="7" s="1"/>
  <c r="L156" i="7"/>
  <c r="N156" i="7" s="1"/>
  <c r="L157" i="7"/>
  <c r="L158" i="7"/>
  <c r="N158" i="7" s="1"/>
  <c r="L159" i="7"/>
  <c r="N159" i="7" s="1"/>
  <c r="L160" i="7"/>
  <c r="N160" i="7" s="1"/>
  <c r="L161" i="7"/>
  <c r="L162" i="7"/>
  <c r="N162" i="7" s="1"/>
  <c r="L163" i="7"/>
  <c r="N163" i="7" s="1"/>
  <c r="L164" i="7"/>
  <c r="N164" i="7" s="1"/>
  <c r="L165" i="7"/>
  <c r="L166" i="7"/>
  <c r="N166" i="7" s="1"/>
  <c r="L167" i="7"/>
  <c r="N167" i="7" s="1"/>
  <c r="L168" i="7"/>
  <c r="N168" i="7" s="1"/>
  <c r="L169" i="7"/>
  <c r="L170" i="7"/>
  <c r="N170" i="7" s="1"/>
  <c r="L171" i="7"/>
  <c r="N171" i="7" s="1"/>
  <c r="L172" i="7"/>
  <c r="N172" i="7" s="1"/>
  <c r="L173" i="7"/>
  <c r="L174" i="7"/>
  <c r="N174" i="7" s="1"/>
  <c r="L175" i="7"/>
  <c r="N175" i="7" s="1"/>
  <c r="L176" i="7"/>
  <c r="N176" i="7" s="1"/>
  <c r="L177" i="7"/>
  <c r="L178" i="7"/>
  <c r="N178" i="7" s="1"/>
  <c r="L179" i="7"/>
  <c r="N179" i="7" s="1"/>
  <c r="L180" i="7"/>
  <c r="N180" i="7" s="1"/>
  <c r="L181" i="7"/>
  <c r="L182" i="7"/>
  <c r="N182" i="7" s="1"/>
  <c r="L183" i="7"/>
  <c r="N183" i="7" s="1"/>
  <c r="L184" i="7"/>
  <c r="N184" i="7" s="1"/>
  <c r="L185" i="7"/>
  <c r="L186" i="7"/>
  <c r="N186" i="7" s="1"/>
  <c r="L187" i="7"/>
  <c r="N187" i="7" s="1"/>
  <c r="L188" i="7"/>
  <c r="N188" i="7" s="1"/>
  <c r="L189" i="7"/>
  <c r="L190" i="7"/>
  <c r="N190" i="7" s="1"/>
  <c r="L191" i="7"/>
  <c r="N191" i="7" s="1"/>
  <c r="L192" i="7"/>
  <c r="N192" i="7" s="1"/>
  <c r="L193" i="7"/>
  <c r="L194" i="7"/>
  <c r="N194" i="7" s="1"/>
  <c r="L195" i="7"/>
  <c r="N195" i="7" s="1"/>
  <c r="L196" i="7"/>
  <c r="N196" i="7" s="1"/>
  <c r="L197" i="7"/>
  <c r="L198" i="7"/>
  <c r="N198" i="7" s="1"/>
  <c r="L199" i="7"/>
  <c r="N199" i="7" s="1"/>
  <c r="L200" i="7"/>
  <c r="N200" i="7" s="1"/>
  <c r="L201" i="7"/>
  <c r="K2"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J2"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J2" i="2"/>
  <c r="J21" i="2"/>
  <c r="J22" i="2"/>
  <c r="J23" i="2"/>
  <c r="J24" i="2"/>
  <c r="J25" i="2"/>
  <c r="J26" i="2"/>
  <c r="J27" i="2"/>
  <c r="J28" i="2"/>
  <c r="J29" i="2"/>
  <c r="J30" i="2"/>
  <c r="J31" i="2"/>
  <c r="J3" i="2"/>
  <c r="J4" i="2"/>
  <c r="J5" i="2"/>
  <c r="J6" i="2"/>
  <c r="J7" i="2"/>
  <c r="J8" i="2"/>
  <c r="J9" i="2"/>
  <c r="J10" i="2"/>
  <c r="J11" i="2"/>
  <c r="J12" i="2"/>
  <c r="J13" i="2"/>
  <c r="J14" i="2"/>
  <c r="J15" i="2"/>
  <c r="J16" i="2"/>
  <c r="J17" i="2"/>
  <c r="J18" i="2"/>
  <c r="J19" i="2"/>
  <c r="J20"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06433B-6A19-4F8B-B863-3AC9A99E68B2}"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2" xr16:uid="{D6FA705D-1C33-49D1-A1D6-F5DECCB9A742}" keepAlive="1" name="Query - Employee_Details" description="Connection to the 'Employee_Details' query in the workbook." type="5" refreshedVersion="8" background="1" saveData="1">
    <dbPr connection="Provider=Microsoft.Mashup.OleDb.1;Data Source=$Workbook$;Location=Employee_Details;Extended Properties=&quot;&quot;" command="SELECT * FROM [Employee_Details]"/>
  </connection>
  <connection id="3" xr16:uid="{67F87572-EACD-4DF2-91BC-97324A4E0916}" keepAlive="1" name="Query - employee_manages_shipment" description="Connection to the 'employee_manages_shipment' query in the workbook." type="5" refreshedVersion="8" background="1" saveData="1">
    <dbPr connection="Provider=Microsoft.Mashup.OleDb.1;Data Source=$Workbook$;Location=employee_manages_shipment;Extended Properties=&quot;&quot;" command="SELECT * FROM [employee_manages_shipment]"/>
  </connection>
  <connection id="4" xr16:uid="{E52D62A4-CDF7-4413-851B-AC5F844C695C}" keepAlive="1" name="Query - Membership" description="Connection to the 'Membership' query in the workbook." type="5" refreshedVersion="8" background="1" saveData="1">
    <dbPr connection="Provider=Microsoft.Mashup.OleDb.1;Data Source=$Workbook$;Location=Membership;Extended Properties=&quot;&quot;" command="SELECT * FROM [Membership]"/>
  </connection>
  <connection id="5" xr16:uid="{84825FC9-A60E-4114-BF51-389261256BE1}" keepAlive="1" name="Query - Payment_Details" description="Connection to the 'Payment_Details' query in the workbook." type="5" refreshedVersion="8" background="1" saveData="1">
    <dbPr connection="Provider=Microsoft.Mashup.OleDb.1;Data Source=$Workbook$;Location=Payment_Details;Extended Properties=&quot;&quot;" command="SELECT * FROM [Payment_Details]"/>
  </connection>
  <connection id="6" xr16:uid="{9FBE81C2-C0EF-46A3-BABF-B166DFC3F420}" keepAlive="1" name="Query - Shipment_Details" description="Connection to the 'Shipment_Details' query in the workbook." type="5" refreshedVersion="8" background="1" saveData="1">
    <dbPr connection="Provider=Microsoft.Mashup.OleDb.1;Data Source=$Workbook$;Location=Shipment_Details;Extended Properties=&quot;&quot;" command="SELECT * FROM [Shipment_Details]"/>
  </connection>
  <connection id="7" xr16:uid="{1144EE0F-E94D-4A0D-9C27-1B37CC9C8025}" keepAlive="1" name="Query - Status" description="Connection to the 'Status' query in the workbook." type="5" refreshedVersion="8" background="1" saveData="1">
    <dbPr connection="Provider=Microsoft.Mashup.OleDb.1;Data Source=$Workbook$;Location=Status;Extended Properties=&quot;&quot;" command="SELECT * FROM [Status]"/>
  </connection>
</connections>
</file>

<file path=xl/sharedStrings.xml><?xml version="1.0" encoding="utf-8"?>
<sst xmlns="http://schemas.openxmlformats.org/spreadsheetml/2006/main" count="3505" uniqueCount="1554">
  <si>
    <t>C_ID</t>
  </si>
  <si>
    <t>M_ID</t>
  </si>
  <si>
    <t>C_NAME</t>
  </si>
  <si>
    <t>C_EMAIL_ID</t>
  </si>
  <si>
    <t>C_TYPE</t>
  </si>
  <si>
    <t>C_ADDR</t>
  </si>
  <si>
    <t>C_CONT_NO</t>
  </si>
  <si>
    <t>Mitchell</t>
  </si>
  <si>
    <t>Harriette42@ymail.com</t>
  </si>
  <si>
    <t>Internal Goods</t>
  </si>
  <si>
    <t>2100 Block of 27TH AV</t>
  </si>
  <si>
    <t>Reginald</t>
  </si>
  <si>
    <t>Matthew951@yahoo.co.in</t>
  </si>
  <si>
    <t>Wholesale</t>
  </si>
  <si>
    <t>300 Block of ELLIS ST</t>
  </si>
  <si>
    <t>Jaylene</t>
  </si>
  <si>
    <t>Geraldine867@ymail.co.in</t>
  </si>
  <si>
    <t>Retail</t>
  </si>
  <si>
    <t>1000 Block of MISSION ST</t>
  </si>
  <si>
    <t>Stacie</t>
  </si>
  <si>
    <t>Brenda905@ymail.com</t>
  </si>
  <si>
    <t>800 Block of BRYANT ST</t>
  </si>
  <si>
    <t>Jonathan</t>
  </si>
  <si>
    <t>Malie282@gmail.com</t>
  </si>
  <si>
    <t>0 Block of DRUMM ST</t>
  </si>
  <si>
    <t>Italia</t>
  </si>
  <si>
    <t>Fred847@google.co.in</t>
  </si>
  <si>
    <t>3RD ST / FOLSOM ST</t>
  </si>
  <si>
    <t>Catherine</t>
  </si>
  <si>
    <t>Clay224@gmail.com</t>
  </si>
  <si>
    <t>GOLDEN GATE AV / PARKER AV</t>
  </si>
  <si>
    <t>Pierre</t>
  </si>
  <si>
    <t>Alaysha578@hotmail.com</t>
  </si>
  <si>
    <t>1400 Block of DEHARO ST</t>
  </si>
  <si>
    <t>Sheryl</t>
  </si>
  <si>
    <t>Kelli519@gmail.com</t>
  </si>
  <si>
    <t>FOLSOM ST / 3RD ST</t>
  </si>
  <si>
    <t>Rory</t>
  </si>
  <si>
    <t>Ryker154@hotmail.com</t>
  </si>
  <si>
    <t>0 Block of THRIFT ST</t>
  </si>
  <si>
    <t>cecile</t>
  </si>
  <si>
    <t>Johnnie593@hotmail.com</t>
  </si>
  <si>
    <t>100 Block of GOLDEN GATE AV</t>
  </si>
  <si>
    <t>Monte</t>
  </si>
  <si>
    <t>Zykeria36@google.co.in</t>
  </si>
  <si>
    <t>2400 Block of DIAMOND ST</t>
  </si>
  <si>
    <t>Belle</t>
  </si>
  <si>
    <t>Selma775@yahoo.co.in</t>
  </si>
  <si>
    <t>FOLSOM ST / CESAR CHAVEZ ST</t>
  </si>
  <si>
    <t>Rayshawn</t>
  </si>
  <si>
    <t>Kathryn298@gmail.com</t>
  </si>
  <si>
    <t>100 Block of LELAND AV</t>
  </si>
  <si>
    <t>abby</t>
  </si>
  <si>
    <t>Karl167@google.co.in</t>
  </si>
  <si>
    <t>600 Block of CLEMENT ST</t>
  </si>
  <si>
    <t>Alonzo</t>
  </si>
  <si>
    <t>Freda331@yahoo.co.in</t>
  </si>
  <si>
    <t>400 Block of LEAVENWORTH ST</t>
  </si>
  <si>
    <t>Ray</t>
  </si>
  <si>
    <t>David216@ymail.com</t>
  </si>
  <si>
    <t>4400 Block of ANZA ST</t>
  </si>
  <si>
    <t>Tiffany</t>
  </si>
  <si>
    <t>Winnifred436@gmail.com</t>
  </si>
  <si>
    <t>GEARY ST / TAYLOR ST</t>
  </si>
  <si>
    <t>Rosalind</t>
  </si>
  <si>
    <t>Bryce535@google.co.in</t>
  </si>
  <si>
    <t>1500 Block of NEWCOMB AV</t>
  </si>
  <si>
    <t>Franklin</t>
  </si>
  <si>
    <t>Maeve922@gmail.com</t>
  </si>
  <si>
    <t>ELLIS ST / JONES ST</t>
  </si>
  <si>
    <t>Sophie</t>
  </si>
  <si>
    <t>Seth275@ymail.com</t>
  </si>
  <si>
    <t>24TH ST / MISSION ST</t>
  </si>
  <si>
    <t>Matthew</t>
  </si>
  <si>
    <t>Maria344@yahoo.com</t>
  </si>
  <si>
    <t>600 Block of JOHNMUIR DR</t>
  </si>
  <si>
    <t>Larry</t>
  </si>
  <si>
    <t>Taron588@yahoo.co.in</t>
  </si>
  <si>
    <t>1700 Block of LYON ST</t>
  </si>
  <si>
    <t>Elena</t>
  </si>
  <si>
    <t>Bryce621@google.co.in</t>
  </si>
  <si>
    <t>3100 Block of 20TH AV</t>
  </si>
  <si>
    <t>Brady</t>
  </si>
  <si>
    <t>Ramona218@gmail.com</t>
  </si>
  <si>
    <t>1300 Block of COLUMBUS AV</t>
  </si>
  <si>
    <t>Sapphire</t>
  </si>
  <si>
    <t>Adrienne107@gmail.com</t>
  </si>
  <si>
    <t>LARKIN ST / POST ST</t>
  </si>
  <si>
    <t>Gene</t>
  </si>
  <si>
    <t>Dawn743@yahoo.com</t>
  </si>
  <si>
    <t>800 Block of AMAZON AV</t>
  </si>
  <si>
    <t>Magdalene</t>
  </si>
  <si>
    <t>Yessenia134@yahoo.com</t>
  </si>
  <si>
    <t>400 Block of 39TH AV</t>
  </si>
  <si>
    <t>Norma</t>
  </si>
  <si>
    <t>Ryan368@ymail.com</t>
  </si>
  <si>
    <t>300 Block of CAPISTRANO AV</t>
  </si>
  <si>
    <t>Destiny</t>
  </si>
  <si>
    <t>Harriette113@ymail.co.in</t>
  </si>
  <si>
    <t>400 Block of POWELL ST</t>
  </si>
  <si>
    <t>Glory</t>
  </si>
  <si>
    <t>Jana467@gmail.com</t>
  </si>
  <si>
    <t>HARRIET ST / HOWARD ST</t>
  </si>
  <si>
    <t>Latasha</t>
  </si>
  <si>
    <t>Frances207@ymail.co.in</t>
  </si>
  <si>
    <t>1500 Block of TURK ST</t>
  </si>
  <si>
    <t>Clay</t>
  </si>
  <si>
    <t>Tiffani841@google.co.in</t>
  </si>
  <si>
    <t>200 Block of SILVER AV</t>
  </si>
  <si>
    <t>Frances</t>
  </si>
  <si>
    <t>Cecile32@hotmail.com</t>
  </si>
  <si>
    <t>Dinah</t>
  </si>
  <si>
    <t>Bryce393@ymail.com</t>
  </si>
  <si>
    <t>2100 Block of LOMBARD ST</t>
  </si>
  <si>
    <t>merna</t>
  </si>
  <si>
    <t>Earle203@google.co.in</t>
  </si>
  <si>
    <t>GOLDEN GATE AV / VANNESS AV</t>
  </si>
  <si>
    <t>Louise</t>
  </si>
  <si>
    <t>Danita716@ymail.com</t>
  </si>
  <si>
    <t>Kaitlyn</t>
  </si>
  <si>
    <t>Raeleigh114@gmail.com</t>
  </si>
  <si>
    <t>POWELL ST / MARKET ST</t>
  </si>
  <si>
    <t>Morgan</t>
  </si>
  <si>
    <t>Guy394@outlook.com</t>
  </si>
  <si>
    <t>CAPP ST / 17TH ST</t>
  </si>
  <si>
    <t>Courtney</t>
  </si>
  <si>
    <t>Anastasia108@google.co.in</t>
  </si>
  <si>
    <t>0 Block of SADOWA ST</t>
  </si>
  <si>
    <t>Benita963@gmail.com</t>
  </si>
  <si>
    <t>500 Block of GEARY ST</t>
  </si>
  <si>
    <t>Eddie</t>
  </si>
  <si>
    <t>Dianne471@ymail.com</t>
  </si>
  <si>
    <t>0 Block of OFARRELL ST</t>
  </si>
  <si>
    <t>Maurice</t>
  </si>
  <si>
    <t>Andrea833@yahoo.co.in</t>
  </si>
  <si>
    <t>2700 Block of FILBERT ST</t>
  </si>
  <si>
    <t>Taryn</t>
  </si>
  <si>
    <t>Raul112@outlook.com</t>
  </si>
  <si>
    <t>700 Block of VALLEJO ST</t>
  </si>
  <si>
    <t>Lazaro</t>
  </si>
  <si>
    <t>Raven727@yahoo.co.in</t>
  </si>
  <si>
    <t>300 Block of FILLMORE ST</t>
  </si>
  <si>
    <t>Muriel</t>
  </si>
  <si>
    <t>Rebecca74@yahoo.co.in</t>
  </si>
  <si>
    <t>0 Block of MYRTLE ST</t>
  </si>
  <si>
    <t>Dejon</t>
  </si>
  <si>
    <t>Rosalind124@hotmail.com</t>
  </si>
  <si>
    <t>300 Block of HOLLADAY AV</t>
  </si>
  <si>
    <t>Peter</t>
  </si>
  <si>
    <t>Anne714@gmail.com</t>
  </si>
  <si>
    <t>DORLAND ST / GUERRERO ST</t>
  </si>
  <si>
    <t>Todd</t>
  </si>
  <si>
    <t>Michael518@yahoo.com</t>
  </si>
  <si>
    <t>23RD ST / DOUGLASS ST</t>
  </si>
  <si>
    <t>Stacy</t>
  </si>
  <si>
    <t>Danielle957@yahoo.co.in</t>
  </si>
  <si>
    <t>5000 Block of 3RD ST</t>
  </si>
  <si>
    <t>Frank</t>
  </si>
  <si>
    <t>Heather632@hotmail.com</t>
  </si>
  <si>
    <t>0 Block of 7TH ST</t>
  </si>
  <si>
    <t>Kaitlyn744@yahoo.com</t>
  </si>
  <si>
    <t>3500 Block of 26TH ST</t>
  </si>
  <si>
    <t>Daren</t>
  </si>
  <si>
    <t>Eileen529@google.co.in</t>
  </si>
  <si>
    <t>0 Block of MAYNARD ST</t>
  </si>
  <si>
    <t>tiffanY</t>
  </si>
  <si>
    <t>Cheyenne213@outlook.com</t>
  </si>
  <si>
    <t>MISSION ST / 17TH ST</t>
  </si>
  <si>
    <t>Isidro</t>
  </si>
  <si>
    <t>Ely630@yahoo.com</t>
  </si>
  <si>
    <t>300 Block of MARKET ST</t>
  </si>
  <si>
    <t>Claude</t>
  </si>
  <si>
    <t>Irby513@hotmail.com</t>
  </si>
  <si>
    <t>800 Block of CLEMENT ST</t>
  </si>
  <si>
    <t>Gaylon</t>
  </si>
  <si>
    <t>Genevieve714@hotmail.com</t>
  </si>
  <si>
    <t>4100 Block of GEARY BL</t>
  </si>
  <si>
    <t>Adonis</t>
  </si>
  <si>
    <t>Elliana123@hotmail.com</t>
  </si>
  <si>
    <t>3300 Block of CESAR CHAVEZ ST</t>
  </si>
  <si>
    <t>Katrice318@yahoo.co.in</t>
  </si>
  <si>
    <t>MONTGOMERY ST / BROADWAY ST</t>
  </si>
  <si>
    <t>Laverne188@google.co.in</t>
  </si>
  <si>
    <t>17TH ST / SHOTWELL ST</t>
  </si>
  <si>
    <t>Bambi</t>
  </si>
  <si>
    <t>Chasity357@yahoo.co.in</t>
  </si>
  <si>
    <t>1900 Block of UNION ST</t>
  </si>
  <si>
    <t>Isabela</t>
  </si>
  <si>
    <t>Kyle670@gmail.com</t>
  </si>
  <si>
    <t>600 Block of HEAD ST</t>
  </si>
  <si>
    <t>Philip</t>
  </si>
  <si>
    <t>Gene977@ymail.co.in</t>
  </si>
  <si>
    <t>Joe</t>
  </si>
  <si>
    <t>Marlene682@outlook.com</t>
  </si>
  <si>
    <t>4100 Block of 18TH ST</t>
  </si>
  <si>
    <t>Clay181@hotmail.com</t>
  </si>
  <si>
    <t>2700 Block of FOLSOM ST</t>
  </si>
  <si>
    <t>Baldemar170@yahoo.co.in</t>
  </si>
  <si>
    <t>800 Block of HOWARD ST</t>
  </si>
  <si>
    <t>Lola</t>
  </si>
  <si>
    <t>Claudia529@google.co.in</t>
  </si>
  <si>
    <t>2300 Block of MARKET ST</t>
  </si>
  <si>
    <t>Jennie</t>
  </si>
  <si>
    <t>Arya715@ymail.co.in</t>
  </si>
  <si>
    <t>16TH ST / SHOTWELL ST</t>
  </si>
  <si>
    <t>Brennan</t>
  </si>
  <si>
    <t>Rodney10@ymail.com</t>
  </si>
  <si>
    <t>2000 Block of JERROLD AV</t>
  </si>
  <si>
    <t>Juan</t>
  </si>
  <si>
    <t>Amelia849@hotmail.com</t>
  </si>
  <si>
    <t>600 Block of 9TH AV</t>
  </si>
  <si>
    <t>Carlotta</t>
  </si>
  <si>
    <t>Stephanie808@gmail.com</t>
  </si>
  <si>
    <t>900 Block of GENEVA AV</t>
  </si>
  <si>
    <t>auStin</t>
  </si>
  <si>
    <t>Dejon859@ymail.com</t>
  </si>
  <si>
    <t>POLK ST / SUTTER ST</t>
  </si>
  <si>
    <t>Naisha</t>
  </si>
  <si>
    <t>Lawrence813@gmail.com</t>
  </si>
  <si>
    <t>MISSION ST / 9TH ST</t>
  </si>
  <si>
    <t>Felicity667@ymail.com</t>
  </si>
  <si>
    <t>1400 Block of HARRISON ST</t>
  </si>
  <si>
    <t>Gabrielle</t>
  </si>
  <si>
    <t>Kim205@hotmail.com</t>
  </si>
  <si>
    <t>FILLMORE ST / CALIFORNIA ST</t>
  </si>
  <si>
    <t>Grover</t>
  </si>
  <si>
    <t>Morgan937@yahoo.com</t>
  </si>
  <si>
    <t>EDDY ST / POLK ST</t>
  </si>
  <si>
    <t>Carter</t>
  </si>
  <si>
    <t>Hudson500@gmail.com</t>
  </si>
  <si>
    <t>Stacy454@hotmail.com</t>
  </si>
  <si>
    <t>800 Block of OAK ST</t>
  </si>
  <si>
    <t>Bianca</t>
  </si>
  <si>
    <t>Peter111@ymail.co.in</t>
  </si>
  <si>
    <t>300 Block of LEAVENWORTH ST</t>
  </si>
  <si>
    <t>Beth644@outlook.com</t>
  </si>
  <si>
    <t>1500 Block of WEBSTER ST</t>
  </si>
  <si>
    <t>Marie</t>
  </si>
  <si>
    <t>Devon640@hotmail.com</t>
  </si>
  <si>
    <t>1600 Block of GEARY BL</t>
  </si>
  <si>
    <t>Neri</t>
  </si>
  <si>
    <t>Jonathan257@google.co.in</t>
  </si>
  <si>
    <t>500 Block of CRESTLAKE DR</t>
  </si>
  <si>
    <t>Chelsey</t>
  </si>
  <si>
    <t>Benita200@yahoo.co.in</t>
  </si>
  <si>
    <t>CALIFORNIA ST / FILLMORE ST</t>
  </si>
  <si>
    <t>John780@yahoo.com</t>
  </si>
  <si>
    <t>1700 Block of STEINER ST</t>
  </si>
  <si>
    <t>Lucien</t>
  </si>
  <si>
    <t>Jan805@ymail.com</t>
  </si>
  <si>
    <t>700 Block of PERU AV</t>
  </si>
  <si>
    <t>Aidan</t>
  </si>
  <si>
    <t>Robert988@google.co.in</t>
  </si>
  <si>
    <t>100 Block of OAK ST</t>
  </si>
  <si>
    <t>Tomeka</t>
  </si>
  <si>
    <t>Kaitlyn60@yahoo.com</t>
  </si>
  <si>
    <t>HOWARD ST / 3RD ST</t>
  </si>
  <si>
    <t>Theresa</t>
  </si>
  <si>
    <t>Stephan274@yahoo.co.in</t>
  </si>
  <si>
    <t>1300 Block of MISSION ST</t>
  </si>
  <si>
    <t>Korie</t>
  </si>
  <si>
    <t>Emma964@gmail.com</t>
  </si>
  <si>
    <t>400 Block of ELLIS ST</t>
  </si>
  <si>
    <t>Misael</t>
  </si>
  <si>
    <t>Monica700@gmail.com</t>
  </si>
  <si>
    <t>4900 Block of MISSION ST</t>
  </si>
  <si>
    <t>Steven</t>
  </si>
  <si>
    <t>Pamala451@outlook.com</t>
  </si>
  <si>
    <t>Tammi</t>
  </si>
  <si>
    <t>Matt620@yahoo.com</t>
  </si>
  <si>
    <t>700 Block of STANYAN ST</t>
  </si>
  <si>
    <t>Rayburn</t>
  </si>
  <si>
    <t>Kristie659@hotmail.com</t>
  </si>
  <si>
    <t>1400 Block of SACRAMENTO ST</t>
  </si>
  <si>
    <t>Gordon</t>
  </si>
  <si>
    <t>Lee224@ymail.co.in</t>
  </si>
  <si>
    <t>HARRISON ST / 6TH ST</t>
  </si>
  <si>
    <t>Zakariya</t>
  </si>
  <si>
    <t>Roger478@ymail.co.in</t>
  </si>
  <si>
    <t>LAWTON ST / 10TH AV</t>
  </si>
  <si>
    <t>Otis</t>
  </si>
  <si>
    <t>Zoya623@gmail.com</t>
  </si>
  <si>
    <t>0 Block of URANUS TR</t>
  </si>
  <si>
    <t>Curtis</t>
  </si>
  <si>
    <t>Robert627@yahoo.co.in</t>
  </si>
  <si>
    <t>300 Block of HYDE ST</t>
  </si>
  <si>
    <t>Danny201@yahoo.com</t>
  </si>
  <si>
    <t>1100 Block of SUTTER ST</t>
  </si>
  <si>
    <t>Dani</t>
  </si>
  <si>
    <t>Ryker409@gmail.com</t>
  </si>
  <si>
    <t>1900 Block of PALOU AV</t>
  </si>
  <si>
    <t>Sadie</t>
  </si>
  <si>
    <t>Zelda490@yahoo.co.in</t>
  </si>
  <si>
    <t>17TH ST / CAPP ST</t>
  </si>
  <si>
    <t>Emma</t>
  </si>
  <si>
    <t>David957@ymail.com</t>
  </si>
  <si>
    <t>100 Block of LEAVENWORTH ST</t>
  </si>
  <si>
    <t>Jacquelin945@yahoo.com</t>
  </si>
  <si>
    <t>MARKET ST / POWELL ST</t>
  </si>
  <si>
    <t>Connie</t>
  </si>
  <si>
    <t>Ardis505@ymail.com</t>
  </si>
  <si>
    <t>SPEAR ST / MARKET ST</t>
  </si>
  <si>
    <t>Ricky</t>
  </si>
  <si>
    <t>Scott41@hotmail.com</t>
  </si>
  <si>
    <t>VANNESS AV / CALIFORNIA ST</t>
  </si>
  <si>
    <t>Patrick</t>
  </si>
  <si>
    <t>Alexia131@outlook.com</t>
  </si>
  <si>
    <t>100 Block of JONES ST</t>
  </si>
  <si>
    <t>Annie</t>
  </si>
  <si>
    <t>Donnell940@ymail.co.in</t>
  </si>
  <si>
    <t>0 Block of FREMONT ST</t>
  </si>
  <si>
    <t>Elvia</t>
  </si>
  <si>
    <t>Trent560@google.co.in</t>
  </si>
  <si>
    <t>300 Block of 14TH ST</t>
  </si>
  <si>
    <t>Laurette</t>
  </si>
  <si>
    <t>Gerald85@google.co.in</t>
  </si>
  <si>
    <t>HAROLD AV / BRUCE AV</t>
  </si>
  <si>
    <t>Austin</t>
  </si>
  <si>
    <t>Zakariya835@yahoo.com</t>
  </si>
  <si>
    <t>600 Block of TOWNSEND ST</t>
  </si>
  <si>
    <t>Willie</t>
  </si>
  <si>
    <t>Artie206@ymail.com</t>
  </si>
  <si>
    <t>0 Block of POWELL ST</t>
  </si>
  <si>
    <t>Diana</t>
  </si>
  <si>
    <t>Ryan128@yahoo.com</t>
  </si>
  <si>
    <t>1200 Block of IRVING ST</t>
  </si>
  <si>
    <t>Amelia</t>
  </si>
  <si>
    <t>Albertha398@ymail.com</t>
  </si>
  <si>
    <t>TARAVAL ST / 48TH AV</t>
  </si>
  <si>
    <t>Dennis</t>
  </si>
  <si>
    <t>Carolyn538@yahoo.co.in</t>
  </si>
  <si>
    <t>7TH ST / MISSION ST</t>
  </si>
  <si>
    <t>Paige</t>
  </si>
  <si>
    <t>Ilana40@ymail.co.in</t>
  </si>
  <si>
    <t>EDDY ST / DIVISADERO ST</t>
  </si>
  <si>
    <t>Lydia</t>
  </si>
  <si>
    <t>Christa254@gmail.com</t>
  </si>
  <si>
    <t>EDDY ST / JONES ST</t>
  </si>
  <si>
    <t>Kandace</t>
  </si>
  <si>
    <t>Bobby84@yahoo.com</t>
  </si>
  <si>
    <t>2100 Block of POLK ST</t>
  </si>
  <si>
    <t>Tianna</t>
  </si>
  <si>
    <t>Laurence971@yahoo.co.in</t>
  </si>
  <si>
    <t>SANSOME ST / CHESTNUT ST</t>
  </si>
  <si>
    <t>Roxanne</t>
  </si>
  <si>
    <t>Trevon752@yahoo.co.in</t>
  </si>
  <si>
    <t>1500 Block of HUDSON AV</t>
  </si>
  <si>
    <t>Hellen</t>
  </si>
  <si>
    <t>Jason341@yahoo.com</t>
  </si>
  <si>
    <t>1200 Block of MCALLISTER ST</t>
  </si>
  <si>
    <t>Zoie</t>
  </si>
  <si>
    <t>Ramona899@yahoo.com</t>
  </si>
  <si>
    <t>16TH ST / MISSION ST</t>
  </si>
  <si>
    <t>George</t>
  </si>
  <si>
    <t>Harvey871@ymail.co.in</t>
  </si>
  <si>
    <t>2200 Block of 14TH AV</t>
  </si>
  <si>
    <t>Genesis</t>
  </si>
  <si>
    <t>Ericka392@hotmail.com</t>
  </si>
  <si>
    <t>GOLDEN GATE AV / FILLMORE ST</t>
  </si>
  <si>
    <t>Reymundo</t>
  </si>
  <si>
    <t>Scott810@ymail.co.in</t>
  </si>
  <si>
    <t>3000 Block of 23RD ST</t>
  </si>
  <si>
    <t>Boyd</t>
  </si>
  <si>
    <t>Shirley751@gmail.com</t>
  </si>
  <si>
    <t>1500 Block of MCALLISTER ST</t>
  </si>
  <si>
    <t>Janelle</t>
  </si>
  <si>
    <t>Nevaeh593@outlook.com</t>
  </si>
  <si>
    <t>OAK ST / FILLMORE ST</t>
  </si>
  <si>
    <t>Bryn</t>
  </si>
  <si>
    <t>Rayburn250@yahoo.co.in</t>
  </si>
  <si>
    <t>JOHNFKENNEDY DR / TRANSVERSE DR</t>
  </si>
  <si>
    <t>Eriana</t>
  </si>
  <si>
    <t>Rayburn258@gmail.com</t>
  </si>
  <si>
    <t>MISSION ST / 20TH ST</t>
  </si>
  <si>
    <t>Bayley</t>
  </si>
  <si>
    <t>Sharyn974@ymail.co.in</t>
  </si>
  <si>
    <t>900 Block of HAYES ST</t>
  </si>
  <si>
    <t>Chasity</t>
  </si>
  <si>
    <t>Leslie740@ymail.co.in</t>
  </si>
  <si>
    <t>600 Block of PAGE ST</t>
  </si>
  <si>
    <t>Ericka359@ymail.com</t>
  </si>
  <si>
    <t>0 Block of WAVERLY PL</t>
  </si>
  <si>
    <t>Sydney</t>
  </si>
  <si>
    <t>Curtis682@hotmail.com</t>
  </si>
  <si>
    <t>MARKET ST / 3RD ST</t>
  </si>
  <si>
    <t>Bernadine</t>
  </si>
  <si>
    <t>Alessia799@hotmail.com</t>
  </si>
  <si>
    <t>1000 Block of CONNECTICUT ST</t>
  </si>
  <si>
    <t>Julianna</t>
  </si>
  <si>
    <t>Bridgett374@yahoo.com</t>
  </si>
  <si>
    <t>800 Block of NORTHPOINT ST</t>
  </si>
  <si>
    <t>Gwendolyn</t>
  </si>
  <si>
    <t>Kelly848@hotmail.com</t>
  </si>
  <si>
    <t>100 Block of 3RD ST</t>
  </si>
  <si>
    <t>Francis214@hotmail.com</t>
  </si>
  <si>
    <t>100 Block of TURQUOISE WY</t>
  </si>
  <si>
    <t>Stephania835@gmail.com</t>
  </si>
  <si>
    <t>Zella692@yahoo.co.in</t>
  </si>
  <si>
    <t>900 Block of GEARY ST</t>
  </si>
  <si>
    <t>Holli</t>
  </si>
  <si>
    <t>Tiffany386@ymail.com</t>
  </si>
  <si>
    <t>HAIGHT ST / MARKET ST</t>
  </si>
  <si>
    <t>Bernard448@google.co.in</t>
  </si>
  <si>
    <t>MISSION ST / RUSSIA AV</t>
  </si>
  <si>
    <t>Miley</t>
  </si>
  <si>
    <t>Parth128@gmail.com</t>
  </si>
  <si>
    <t>19TH ST / YORK ST</t>
  </si>
  <si>
    <t>Trey</t>
  </si>
  <si>
    <t>Arlene95@ymail.co.in</t>
  </si>
  <si>
    <t>GEARY ST / STOCKTON ST</t>
  </si>
  <si>
    <t>Debora</t>
  </si>
  <si>
    <t>Ronnie261@ymail.co.in</t>
  </si>
  <si>
    <t>700 Block of 14TH ST</t>
  </si>
  <si>
    <t>Sonja</t>
  </si>
  <si>
    <t>Anne892@hotmail.com</t>
  </si>
  <si>
    <t>OAKDALE AV / SELBY ST</t>
  </si>
  <si>
    <t>Kathleen439@outlook.com</t>
  </si>
  <si>
    <t>100 Block of BROOKDALE AV</t>
  </si>
  <si>
    <t>Max</t>
  </si>
  <si>
    <t>Jalen33@yahoo.com</t>
  </si>
  <si>
    <t>DUNCAN ST / DOUGLASS ST</t>
  </si>
  <si>
    <t>Danielle</t>
  </si>
  <si>
    <t>Jensen191@ymail.co.in</t>
  </si>
  <si>
    <t>500 Block of JOHNFKENNEDY DR</t>
  </si>
  <si>
    <t>Caitlin</t>
  </si>
  <si>
    <t>Stanley922@ymail.co.in</t>
  </si>
  <si>
    <t>2100 Block of 24TH AV</t>
  </si>
  <si>
    <t>Enrique</t>
  </si>
  <si>
    <t>Stanley112@outlook.com</t>
  </si>
  <si>
    <t>900 Block of MARKET ST</t>
  </si>
  <si>
    <t>Brenda</t>
  </si>
  <si>
    <t>Pamela639@google.co.in</t>
  </si>
  <si>
    <t>CHESTNUT ST / COLUMBUS AV</t>
  </si>
  <si>
    <t>Andre</t>
  </si>
  <si>
    <t>Isabela532@hotmail.com</t>
  </si>
  <si>
    <t>200 Block of 9TH ST</t>
  </si>
  <si>
    <t>Eunice</t>
  </si>
  <si>
    <t>Tiffani333@outlook.com</t>
  </si>
  <si>
    <t>700 Block of MARKET ST</t>
  </si>
  <si>
    <t>Johnny</t>
  </si>
  <si>
    <t>Ora822@outlook.com</t>
  </si>
  <si>
    <t>300 Block of ATHENS ST</t>
  </si>
  <si>
    <t>Christa</t>
  </si>
  <si>
    <t>Crystal579@outlook.com</t>
  </si>
  <si>
    <t>27TH AV / LAKE ST</t>
  </si>
  <si>
    <t>Wilbur</t>
  </si>
  <si>
    <t>Todd405@ymail.co.in</t>
  </si>
  <si>
    <t>2400 Block of MARKET ST</t>
  </si>
  <si>
    <t>Steve</t>
  </si>
  <si>
    <t>Frederick409@outlook.com</t>
  </si>
  <si>
    <t>7TH ST / MARKET ST</t>
  </si>
  <si>
    <t>Ronnie</t>
  </si>
  <si>
    <t>Makala843@ymail.com</t>
  </si>
  <si>
    <t>1000 Block of BUSH ST</t>
  </si>
  <si>
    <t>Julie</t>
  </si>
  <si>
    <t>Wayne473@gmail.com</t>
  </si>
  <si>
    <t>1300 Block of HAIGHT ST</t>
  </si>
  <si>
    <t>Paola</t>
  </si>
  <si>
    <t>Bart400@outlook.com</t>
  </si>
  <si>
    <t>700 Block of POST ST</t>
  </si>
  <si>
    <t>Shemar</t>
  </si>
  <si>
    <t>Leighann675@gmail.com</t>
  </si>
  <si>
    <t>1000 Block of INGERSON AV</t>
  </si>
  <si>
    <t>Albert</t>
  </si>
  <si>
    <t>Christina573@hotmail.com</t>
  </si>
  <si>
    <t>0 Block of STONEYBROOK AV</t>
  </si>
  <si>
    <t>Kyleigh</t>
  </si>
  <si>
    <t>Edith189@ymail.co.in</t>
  </si>
  <si>
    <t>3900 Block of MISSION ST</t>
  </si>
  <si>
    <t>Milburn442@hotmail.com</t>
  </si>
  <si>
    <t>300 Block of 6TH AV</t>
  </si>
  <si>
    <t>Michaela</t>
  </si>
  <si>
    <t>Loren171@gmail.com</t>
  </si>
  <si>
    <t>2000 Block of MISSION ST</t>
  </si>
  <si>
    <t>Stefania</t>
  </si>
  <si>
    <t>Zoie905@gmail.com</t>
  </si>
  <si>
    <t>EDDY ST / LARKIN ST</t>
  </si>
  <si>
    <t>Nigel</t>
  </si>
  <si>
    <t>Coleman372@yahoo.co.in</t>
  </si>
  <si>
    <t>SUTTER ST / FRANKLIN ST</t>
  </si>
  <si>
    <t>Mavis</t>
  </si>
  <si>
    <t>Jennifer84@gmail.com</t>
  </si>
  <si>
    <t>700 Block of CABRILLO ST</t>
  </si>
  <si>
    <t>Jensen157@gmail.com</t>
  </si>
  <si>
    <t>COLUMBUS AV / CHESTNUT ST</t>
  </si>
  <si>
    <t>Marion</t>
  </si>
  <si>
    <t>Cristina330@ymail.com</t>
  </si>
  <si>
    <t>5TH ST / TOWNSEND ST</t>
  </si>
  <si>
    <t>Adrianna</t>
  </si>
  <si>
    <t>Annamaria542@ymail.co.in</t>
  </si>
  <si>
    <t>100 Block of EDDY ST</t>
  </si>
  <si>
    <t>Jaimee</t>
  </si>
  <si>
    <t>Jennie676@gmail.com</t>
  </si>
  <si>
    <t>OAKDALE AV / RANKIN ST</t>
  </si>
  <si>
    <t>Eldon965@gmail.com</t>
  </si>
  <si>
    <t>SILVER AV / BOYLSTON ST</t>
  </si>
  <si>
    <t>Jennifer</t>
  </si>
  <si>
    <t>Tammi464@google.co.in</t>
  </si>
  <si>
    <t>100 Block of MINNA ST</t>
  </si>
  <si>
    <t>Peyton</t>
  </si>
  <si>
    <t>Elise537@google.co.in</t>
  </si>
  <si>
    <t>500 Block of 2ND ST</t>
  </si>
  <si>
    <t>Joel</t>
  </si>
  <si>
    <t>Twanna51@outlook.com</t>
  </si>
  <si>
    <t>POWELL ST / GEARY ST</t>
  </si>
  <si>
    <t>Dawn379@gmail.com</t>
  </si>
  <si>
    <t>100 Block of TUCKER AV</t>
  </si>
  <si>
    <t>Darrel</t>
  </si>
  <si>
    <t>Gael721@hotmail.com</t>
  </si>
  <si>
    <t>2300 Block of BUCHANAN ST</t>
  </si>
  <si>
    <t>Joao478@ymail.co.in</t>
  </si>
  <si>
    <t>TARAVAL ST / 44TH AV</t>
  </si>
  <si>
    <t>Christina</t>
  </si>
  <si>
    <t>Muriel437@yahoo.com</t>
  </si>
  <si>
    <t>1ST ST / MISSION ST</t>
  </si>
  <si>
    <t>Bruno</t>
  </si>
  <si>
    <t>Valeria27@ymail.com</t>
  </si>
  <si>
    <t>0 Block of STOCKTON ST</t>
  </si>
  <si>
    <t>Fabiola</t>
  </si>
  <si>
    <t>Yasmeen6@outlook.com</t>
  </si>
  <si>
    <t>100 Block of HYDE ST</t>
  </si>
  <si>
    <t>Cecilia196@hotmail.com</t>
  </si>
  <si>
    <t>MASON ST / TURK ST</t>
  </si>
  <si>
    <t>Laverne</t>
  </si>
  <si>
    <t>Brent496@ymail.co.in</t>
  </si>
  <si>
    <t>4400 Block of 3RD ST</t>
  </si>
  <si>
    <t>Joseph</t>
  </si>
  <si>
    <t>Gray853@yahoo.co.in</t>
  </si>
  <si>
    <t>100 Block of MARIETTA DR</t>
  </si>
  <si>
    <t>Kenny233@hotmail.com</t>
  </si>
  <si>
    <t>1000 Block of FOLSOM ST</t>
  </si>
  <si>
    <t>Velma</t>
  </si>
  <si>
    <t>Jasmine269@hotmail.com</t>
  </si>
  <si>
    <t>1300 Block of MARKET ST</t>
  </si>
  <si>
    <t>Christy</t>
  </si>
  <si>
    <t>Kelly404@gmail.com</t>
  </si>
  <si>
    <t>200 Block of RALSTON ST</t>
  </si>
  <si>
    <t>Alysha459@ymail.co.in</t>
  </si>
  <si>
    <t>100 Block of SANBUENAVENTURA WY</t>
  </si>
  <si>
    <t>Lita</t>
  </si>
  <si>
    <t>Rashawn68@hotmail.com</t>
  </si>
  <si>
    <t>1400 Block of BROADWAY ST</t>
  </si>
  <si>
    <t>Stephon</t>
  </si>
  <si>
    <t>Rita822@google.co.in</t>
  </si>
  <si>
    <t>1300 Block of FRANKLIN ST</t>
  </si>
  <si>
    <t>Demetrius</t>
  </si>
  <si>
    <t>Jaime171@hotmail.com</t>
  </si>
  <si>
    <t>1000 Block of HYDE ST</t>
  </si>
  <si>
    <t>Evan</t>
  </si>
  <si>
    <t>Debora90@gmail.com</t>
  </si>
  <si>
    <t>Rita</t>
  </si>
  <si>
    <t>Jan949@yahoo.co.in</t>
  </si>
  <si>
    <t>800 Block of MOSCOW ST</t>
  </si>
  <si>
    <t>Van725@yahoo.com</t>
  </si>
  <si>
    <t>NORTHPOINT ST / MASON ST</t>
  </si>
  <si>
    <t>Dianne</t>
  </si>
  <si>
    <t>Jalen271@gmail.com</t>
  </si>
  <si>
    <t>900 Block of NATOMA ST</t>
  </si>
  <si>
    <t>Mickey</t>
  </si>
  <si>
    <t>Samual419@outlook.com</t>
  </si>
  <si>
    <t>LINCOLN WY / 45TH AV</t>
  </si>
  <si>
    <t>Amy</t>
  </si>
  <si>
    <t>Holli358@ymail.com</t>
  </si>
  <si>
    <t>UNION ST / LAGUNA ST</t>
  </si>
  <si>
    <t>Eileen</t>
  </si>
  <si>
    <t>Latasha554@ymail.com</t>
  </si>
  <si>
    <t>500 Block of HOLLOWAY AV</t>
  </si>
  <si>
    <t>Stanley</t>
  </si>
  <si>
    <t>Alexia103@ymail.com</t>
  </si>
  <si>
    <t>MARKET ST / 4TH ST</t>
  </si>
  <si>
    <t>Douglas</t>
  </si>
  <si>
    <t>Beth30@yahoo.co.in</t>
  </si>
  <si>
    <t>1100 Block of MASONIC AV</t>
  </si>
  <si>
    <t>Jill</t>
  </si>
  <si>
    <t>Valencia714@yahoo.co.in</t>
  </si>
  <si>
    <t>14TH ST / VALENCIA ST</t>
  </si>
  <si>
    <t>E_ID</t>
  </si>
  <si>
    <t>E_NAME</t>
  </si>
  <si>
    <t>E_DESIGNATION</t>
  </si>
  <si>
    <t>E_ADDR</t>
  </si>
  <si>
    <t>E_BRANCH</t>
  </si>
  <si>
    <t>E_CONT_NO</t>
  </si>
  <si>
    <t>Harriette</t>
  </si>
  <si>
    <t>Market analyst</t>
  </si>
  <si>
    <t>600 Block of PINE ST</t>
  </si>
  <si>
    <t>TX</t>
  </si>
  <si>
    <t>Chief finance officer</t>
  </si>
  <si>
    <t>EDDY ST / MASON ST</t>
  </si>
  <si>
    <t>MA</t>
  </si>
  <si>
    <t>Geraldine</t>
  </si>
  <si>
    <t>Transport manager</t>
  </si>
  <si>
    <t>CT</t>
  </si>
  <si>
    <t>Warehouse manager</t>
  </si>
  <si>
    <t>3300 Block of JUDAH ST</t>
  </si>
  <si>
    <t>UT</t>
  </si>
  <si>
    <t>Malie</t>
  </si>
  <si>
    <t>Branch manager</t>
  </si>
  <si>
    <t>3200 Block of GEARY BL</t>
  </si>
  <si>
    <t>OH</t>
  </si>
  <si>
    <t>Fred</t>
  </si>
  <si>
    <t>Project director</t>
  </si>
  <si>
    <t>VANNESS AV / MARKET ST</t>
  </si>
  <si>
    <t>MO</t>
  </si>
  <si>
    <t>HR manager</t>
  </si>
  <si>
    <t>1000 Block of BOSWORTH ST</t>
  </si>
  <si>
    <t>SD</t>
  </si>
  <si>
    <t>Alaysha</t>
  </si>
  <si>
    <t>Material handling executive</t>
  </si>
  <si>
    <t>800 Block of GEARY ST</t>
  </si>
  <si>
    <t>Kelli</t>
  </si>
  <si>
    <t>Non-executive director</t>
  </si>
  <si>
    <t>BAY SHORE BL / JERROLD AV</t>
  </si>
  <si>
    <t>Ryker</t>
  </si>
  <si>
    <t>HI</t>
  </si>
  <si>
    <t>Johnnie</t>
  </si>
  <si>
    <t>In House logistics executive</t>
  </si>
  <si>
    <t>100 Block of BRITTON ST</t>
  </si>
  <si>
    <t>RI</t>
  </si>
  <si>
    <t>Zykeria</t>
  </si>
  <si>
    <t>Warehouse in charge</t>
  </si>
  <si>
    <t>2700 Block of PACIFIC AV</t>
  </si>
  <si>
    <t>VA</t>
  </si>
  <si>
    <t>Selma</t>
  </si>
  <si>
    <t>Head of marketing</t>
  </si>
  <si>
    <t>900 Block of SANSOME ST</t>
  </si>
  <si>
    <t>KY</t>
  </si>
  <si>
    <t>Kathryn</t>
  </si>
  <si>
    <t>Technical support executive</t>
  </si>
  <si>
    <t>1300 Block of PACIFIC AV</t>
  </si>
  <si>
    <t>AL</t>
  </si>
  <si>
    <t>Karl</t>
  </si>
  <si>
    <t>LA PLAYA ST / BALBOA ST</t>
  </si>
  <si>
    <t>Freda</t>
  </si>
  <si>
    <t>IT support executive</t>
  </si>
  <si>
    <t>1900 Block of MISSION ST</t>
  </si>
  <si>
    <t>NH</t>
  </si>
  <si>
    <t>David</t>
  </si>
  <si>
    <t>Inventory manager</t>
  </si>
  <si>
    <t>22ND ST / IOWA ST</t>
  </si>
  <si>
    <t>Winnifred</t>
  </si>
  <si>
    <t>0 Block of 6TH ST</t>
  </si>
  <si>
    <t>Bryce</t>
  </si>
  <si>
    <t>Manager</t>
  </si>
  <si>
    <t>20TH ST / MISSION ST</t>
  </si>
  <si>
    <t>CA</t>
  </si>
  <si>
    <t>Maeve</t>
  </si>
  <si>
    <t>GENEVA AV / MISSION ST</t>
  </si>
  <si>
    <t>Seth</t>
  </si>
  <si>
    <t>1600 Block of FILLMORE ST</t>
  </si>
  <si>
    <t>NJ</t>
  </si>
  <si>
    <t>Maria</t>
  </si>
  <si>
    <t>3400 Block of CESAR CHAVEZ ST</t>
  </si>
  <si>
    <t>OK</t>
  </si>
  <si>
    <t>Taron</t>
  </si>
  <si>
    <t>Sales manager</t>
  </si>
  <si>
    <t>1000 Block of POTRERO AV</t>
  </si>
  <si>
    <t>NC</t>
  </si>
  <si>
    <t>Block development manager</t>
  </si>
  <si>
    <t>NY</t>
  </si>
  <si>
    <t>Ramona</t>
  </si>
  <si>
    <t>POLK ST / PINE ST</t>
  </si>
  <si>
    <t>Adrienne</t>
  </si>
  <si>
    <t>Assistant manager</t>
  </si>
  <si>
    <t>6TH ST / MARKET ST</t>
  </si>
  <si>
    <t>NM</t>
  </si>
  <si>
    <t>Dawn</t>
  </si>
  <si>
    <t>200 Block of DIVISION ST</t>
  </si>
  <si>
    <t>PA</t>
  </si>
  <si>
    <t>Yessenia</t>
  </si>
  <si>
    <t>Delivery Boy</t>
  </si>
  <si>
    <t>1600 Block of FOLSOM ST</t>
  </si>
  <si>
    <t>Ryan</t>
  </si>
  <si>
    <t>600 Block of INDIANA ST</t>
  </si>
  <si>
    <t>1100 Block of GUERRERO ST</t>
  </si>
  <si>
    <t>Jana</t>
  </si>
  <si>
    <t>Office manager</t>
  </si>
  <si>
    <t>500 Block of CARTER ST</t>
  </si>
  <si>
    <t>OR</t>
  </si>
  <si>
    <t>Engineering department manager</t>
  </si>
  <si>
    <t>0 Block of WHITFIELD CT</t>
  </si>
  <si>
    <t>Tiffani</t>
  </si>
  <si>
    <t>8TH ST / MARKET ST</t>
  </si>
  <si>
    <t>Cecile</t>
  </si>
  <si>
    <t>CO</t>
  </si>
  <si>
    <t>Chief executive officer</t>
  </si>
  <si>
    <t>TAYLOR ST / EDDY ST</t>
  </si>
  <si>
    <t>Earle</t>
  </si>
  <si>
    <t>1200 Block of WAWONA ST</t>
  </si>
  <si>
    <t>Danita</t>
  </si>
  <si>
    <t>500 Block of BROADWAY ST</t>
  </si>
  <si>
    <t>Raeleigh</t>
  </si>
  <si>
    <t>400 Block of CASTRO ST</t>
  </si>
  <si>
    <t>Guy</t>
  </si>
  <si>
    <t>NATOMA ST / 6TH ST</t>
  </si>
  <si>
    <t>TN</t>
  </si>
  <si>
    <t>Anastasia</t>
  </si>
  <si>
    <t>JONES ST / PINE ST</t>
  </si>
  <si>
    <t>Benita</t>
  </si>
  <si>
    <t>1700 Block of GREENWICH ST</t>
  </si>
  <si>
    <t>SCOTT ST / SACRAMENTO ST</t>
  </si>
  <si>
    <t>Andrea</t>
  </si>
  <si>
    <t>1700 Block of BEACH ST</t>
  </si>
  <si>
    <t>Raul</t>
  </si>
  <si>
    <t>1400 Block of 47TH AV</t>
  </si>
  <si>
    <t>Raven</t>
  </si>
  <si>
    <t>CASTRO ST / MARKET ST</t>
  </si>
  <si>
    <t>Rebecca</t>
  </si>
  <si>
    <t>400 Block of SCOTT ST</t>
  </si>
  <si>
    <t>MINNA ST / JULIA ST</t>
  </si>
  <si>
    <t>Anne</t>
  </si>
  <si>
    <t>IA</t>
  </si>
  <si>
    <t>Michael</t>
  </si>
  <si>
    <t>100 Block of EUREKA ST</t>
  </si>
  <si>
    <t>Heather</t>
  </si>
  <si>
    <t>2000 Block of UNION ST</t>
  </si>
  <si>
    <t>800 Block of MARKET ST</t>
  </si>
  <si>
    <t>MS</t>
  </si>
  <si>
    <t>SAN JOSE AV / GUERRERO ST</t>
  </si>
  <si>
    <t>Cheyenne</t>
  </si>
  <si>
    <t>100 Block of GIRARD ST</t>
  </si>
  <si>
    <t>Ely</t>
  </si>
  <si>
    <t>KS</t>
  </si>
  <si>
    <t>Irby</t>
  </si>
  <si>
    <t>0 Block of CRANE ST</t>
  </si>
  <si>
    <t>AR</t>
  </si>
  <si>
    <t>Genevieve</t>
  </si>
  <si>
    <t>Fleet manager</t>
  </si>
  <si>
    <t>LEAVENWORTH ST / GOLDEN GATE AV</t>
  </si>
  <si>
    <t>Elliana</t>
  </si>
  <si>
    <t>COLUMBUS AV / LOMBARD ST</t>
  </si>
  <si>
    <t>LA</t>
  </si>
  <si>
    <t>Katrice</t>
  </si>
  <si>
    <t>1600 Block of MARKET ST</t>
  </si>
  <si>
    <t>WV</t>
  </si>
  <si>
    <t>1800 Block of WALLER ST</t>
  </si>
  <si>
    <t>600 Block of MANGELS AV</t>
  </si>
  <si>
    <t>WA</t>
  </si>
  <si>
    <t>Kyle</t>
  </si>
  <si>
    <t>1900 Block of LOMBARD ST</t>
  </si>
  <si>
    <t>ME</t>
  </si>
  <si>
    <t>Marlene</t>
  </si>
  <si>
    <t>500 Block of NOE ST</t>
  </si>
  <si>
    <t>MISSION ST / 16TH ST</t>
  </si>
  <si>
    <t>Baldemar</t>
  </si>
  <si>
    <t>2700 Block of TAYLOR ST</t>
  </si>
  <si>
    <t>Claudia</t>
  </si>
  <si>
    <t>CEDAR ST / POLK ST</t>
  </si>
  <si>
    <t>Arya</t>
  </si>
  <si>
    <t>1200 Block of MARKET ST</t>
  </si>
  <si>
    <t>Rodney</t>
  </si>
  <si>
    <t>Marketing manager</t>
  </si>
  <si>
    <t>BAY ST / POWELL ST</t>
  </si>
  <si>
    <t>FL</t>
  </si>
  <si>
    <t>Stephanie</t>
  </si>
  <si>
    <t>1800 Block of OCEAN AV</t>
  </si>
  <si>
    <t>Executive director</t>
  </si>
  <si>
    <t>100 Block of CLINTONPARK ST</t>
  </si>
  <si>
    <t>IL</t>
  </si>
  <si>
    <t>Lawrence</t>
  </si>
  <si>
    <t>100 Block of APTOS AV</t>
  </si>
  <si>
    <t>Felicity</t>
  </si>
  <si>
    <t>1800 Block of NEWHALL ST</t>
  </si>
  <si>
    <t>Kim</t>
  </si>
  <si>
    <t>100 Block of CEDAR ST</t>
  </si>
  <si>
    <t>400 Block of VALENCIA ST</t>
  </si>
  <si>
    <t>SC</t>
  </si>
  <si>
    <t>Hudson</t>
  </si>
  <si>
    <t>STEINER ST / WASHINGTON ST</t>
  </si>
  <si>
    <t>200 Block of BRANNAN ST</t>
  </si>
  <si>
    <t>Beth</t>
  </si>
  <si>
    <t>2200 Block of CHESTNUT ST</t>
  </si>
  <si>
    <t>Devon</t>
  </si>
  <si>
    <t>ADA CT / OFARRELL ST</t>
  </si>
  <si>
    <t>1600 Block of WEBSTER ST</t>
  </si>
  <si>
    <t>Director</t>
  </si>
  <si>
    <t>4800 Block of GEARY BL</t>
  </si>
  <si>
    <t>John</t>
  </si>
  <si>
    <t>1100 Block of SUNNYDALE AV</t>
  </si>
  <si>
    <t>Jan</t>
  </si>
  <si>
    <t>300 Block of CHATTANOOGA ST</t>
  </si>
  <si>
    <t>Robert</t>
  </si>
  <si>
    <t>ELIZABETH ST / DIAMOND ST</t>
  </si>
  <si>
    <t>1400 Block of BAKER ST</t>
  </si>
  <si>
    <t>Stephan</t>
  </si>
  <si>
    <t>300 Block of PRAGUE ST</t>
  </si>
  <si>
    <t>Monica</t>
  </si>
  <si>
    <t>400 Block of BAY ST</t>
  </si>
  <si>
    <t>Pamala</t>
  </si>
  <si>
    <t>1600 Block of THE EMBARCADERONORTH ST</t>
  </si>
  <si>
    <t>AZ</t>
  </si>
  <si>
    <t>Matt</t>
  </si>
  <si>
    <t>1100 Block of FITZGERALD AV</t>
  </si>
  <si>
    <t>Kristie</t>
  </si>
  <si>
    <t>4600 Block of 18TH ST</t>
  </si>
  <si>
    <t>Lee</t>
  </si>
  <si>
    <t>0 Block of MAIDEN LN</t>
  </si>
  <si>
    <t>Roger</t>
  </si>
  <si>
    <t>100 Block of KISKA RD</t>
  </si>
  <si>
    <t>Zoya</t>
  </si>
  <si>
    <t>400 Block of MASON ST</t>
  </si>
  <si>
    <t>1200 Block of HAIGHT ST</t>
  </si>
  <si>
    <t>ID</t>
  </si>
  <si>
    <t>Danny</t>
  </si>
  <si>
    <t>800 Block of ELLIS ST</t>
  </si>
  <si>
    <t>Zelda</t>
  </si>
  <si>
    <t>2300 Block of VICENTE ST</t>
  </si>
  <si>
    <t>Jacquelin</t>
  </si>
  <si>
    <t>DOLORES ST / 30TH ST</t>
  </si>
  <si>
    <t>Ardis</t>
  </si>
  <si>
    <t>Scott</t>
  </si>
  <si>
    <t>Alexia</t>
  </si>
  <si>
    <t>200 Block of LOWELL ST</t>
  </si>
  <si>
    <t>Donnell</t>
  </si>
  <si>
    <t>2400 Block of MISSION ST</t>
  </si>
  <si>
    <t>Trent</t>
  </si>
  <si>
    <t>0 Block of AUGUST AL</t>
  </si>
  <si>
    <t>Gerald</t>
  </si>
  <si>
    <t>MISSION ST / FAIR AV</t>
  </si>
  <si>
    <t>300 Block of CAPP ST</t>
  </si>
  <si>
    <t>Artie</t>
  </si>
  <si>
    <t>3500 Block of FILLMORE ST</t>
  </si>
  <si>
    <t>GA</t>
  </si>
  <si>
    <t>0 Block of JONES ST</t>
  </si>
  <si>
    <t>Albertha</t>
  </si>
  <si>
    <t>1000 Block of VANNESS AV</t>
  </si>
  <si>
    <t>Carolyn</t>
  </si>
  <si>
    <t>100 Block of SANJUAN AV</t>
  </si>
  <si>
    <t>Ilana</t>
  </si>
  <si>
    <t>900 Block of GRANT AV</t>
  </si>
  <si>
    <t>MI</t>
  </si>
  <si>
    <t>0 Block of HANCOCK ST</t>
  </si>
  <si>
    <t>Bobby</t>
  </si>
  <si>
    <t>700 Block of MISSION ST</t>
  </si>
  <si>
    <t>Laurence</t>
  </si>
  <si>
    <t>2900 Block of JACKSON ST</t>
  </si>
  <si>
    <t>Trevon</t>
  </si>
  <si>
    <t>1100 Block of MARKET ST</t>
  </si>
  <si>
    <t>Jason</t>
  </si>
  <si>
    <t>1600 Block of INDIANA ST</t>
  </si>
  <si>
    <t>IN</t>
  </si>
  <si>
    <t>FULTON ST / 5TH AV</t>
  </si>
  <si>
    <t>Harvey</t>
  </si>
  <si>
    <t>200 Block of LAKEVIEW AV</t>
  </si>
  <si>
    <t>DC</t>
  </si>
  <si>
    <t>Ericka</t>
  </si>
  <si>
    <t>1000 Block of MARKET ST</t>
  </si>
  <si>
    <t>DAVIS ST / CLAY ST</t>
  </si>
  <si>
    <t>Shirley</t>
  </si>
  <si>
    <t>200 Block of INTERSTATE80 HY</t>
  </si>
  <si>
    <t>Nevaeh</t>
  </si>
  <si>
    <t>FITZGERALD AV / GRIFFITH ST</t>
  </si>
  <si>
    <t>LEAVENWORTH ST / ELLIS ST</t>
  </si>
  <si>
    <t>400 Block of JONES ST</t>
  </si>
  <si>
    <t>Sharyn</t>
  </si>
  <si>
    <t>MISSION ST / 24TH ST</t>
  </si>
  <si>
    <t>Leslie</t>
  </si>
  <si>
    <t>RUSSIA AV / ATHENS ST</t>
  </si>
  <si>
    <t>BRANNAN ST / 9TH ST</t>
  </si>
  <si>
    <t>200 Block of ASHBURY ST</t>
  </si>
  <si>
    <t>Alessia</t>
  </si>
  <si>
    <t>1200 Block of THE EMBARCADERONORTH ST</t>
  </si>
  <si>
    <t>Bridgett</t>
  </si>
  <si>
    <t>100 Block of OFARRELL ST</t>
  </si>
  <si>
    <t>Kelly</t>
  </si>
  <si>
    <t>0 Block of BRADY ST</t>
  </si>
  <si>
    <t>Francis</t>
  </si>
  <si>
    <t>ANZA ST / SPRUCE ST</t>
  </si>
  <si>
    <t>Stephania</t>
  </si>
  <si>
    <t>1600 Block of HAIGHT ST</t>
  </si>
  <si>
    <t>Zella</t>
  </si>
  <si>
    <t>FRANKLIN ST / GOLDEN GATE AV</t>
  </si>
  <si>
    <t>JACKSON ST / GRANT AV</t>
  </si>
  <si>
    <t>Bernard</t>
  </si>
  <si>
    <t>JONES ST / STEVELOE PL</t>
  </si>
  <si>
    <t>MN</t>
  </si>
  <si>
    <t>Parth</t>
  </si>
  <si>
    <t>1400 Block of WASHINGTON ST</t>
  </si>
  <si>
    <t>Arlene</t>
  </si>
  <si>
    <t>15TH AV / SHELDON TR</t>
  </si>
  <si>
    <t>400 Block of SUTTER ST</t>
  </si>
  <si>
    <t>Kathleen</t>
  </si>
  <si>
    <t>200 Block of 6TH ST</t>
  </si>
  <si>
    <t>Jalen</t>
  </si>
  <si>
    <t>1400 Block of 19TH AV</t>
  </si>
  <si>
    <t>Jensen</t>
  </si>
  <si>
    <t>SUTTER ST / LARKIN ST</t>
  </si>
  <si>
    <t>0 Block of LAGUNA ST</t>
  </si>
  <si>
    <t>MD</t>
  </si>
  <si>
    <t>Pamela</t>
  </si>
  <si>
    <t>0 Block of CHENERY ST</t>
  </si>
  <si>
    <t>MISSION ST / 13TH ST</t>
  </si>
  <si>
    <t>1700 Block of POST ST</t>
  </si>
  <si>
    <t>Ora</t>
  </si>
  <si>
    <t>Crystal</t>
  </si>
  <si>
    <t>0 Block of ADAIR ST</t>
  </si>
  <si>
    <t>6TH ST / MISSION ST</t>
  </si>
  <si>
    <t>Frederick</t>
  </si>
  <si>
    <t>TAYLOR ST / ELLIS ST</t>
  </si>
  <si>
    <t>DE</t>
  </si>
  <si>
    <t>Makala</t>
  </si>
  <si>
    <t>0 Block of NEWTON ST</t>
  </si>
  <si>
    <t>Wayne</t>
  </si>
  <si>
    <t>500 Block of CAPP ST</t>
  </si>
  <si>
    <t>Bart</t>
  </si>
  <si>
    <t>11TH ST / MINNA ST</t>
  </si>
  <si>
    <t>Leighann</t>
  </si>
  <si>
    <t>HAIGHT ST / STANYAN ST</t>
  </si>
  <si>
    <t>2400 Block of SAN BRUNO AV</t>
  </si>
  <si>
    <t>Edith</t>
  </si>
  <si>
    <t>300 Block of 30TH AV</t>
  </si>
  <si>
    <t>Milburn</t>
  </si>
  <si>
    <t>4200 Block of GEARY BL</t>
  </si>
  <si>
    <t>MT</t>
  </si>
  <si>
    <t>Loren</t>
  </si>
  <si>
    <t>400 Block of HAIGHT ST</t>
  </si>
  <si>
    <t>1200 Block of POLK ST</t>
  </si>
  <si>
    <t>Coleman</t>
  </si>
  <si>
    <t>1500 Block of MARKET ST</t>
  </si>
  <si>
    <t>FELL ST / STEINER ST</t>
  </si>
  <si>
    <t>Cristina</t>
  </si>
  <si>
    <t>MISSION ST / FRANCIS ST</t>
  </si>
  <si>
    <t>Annamaria</t>
  </si>
  <si>
    <t>HYDE ST / GROVE ST</t>
  </si>
  <si>
    <t>Eldon</t>
  </si>
  <si>
    <t>200 Block of BATTERY ST</t>
  </si>
  <si>
    <t>0 Block of CLARION AL</t>
  </si>
  <si>
    <t>Elise</t>
  </si>
  <si>
    <t>FRANKLIN ST / IVY ST</t>
  </si>
  <si>
    <t>Twanna</t>
  </si>
  <si>
    <t>4000 Block of 19TH AV</t>
  </si>
  <si>
    <t>0 Block of TAYLOR ST</t>
  </si>
  <si>
    <t>Gael</t>
  </si>
  <si>
    <t>26TH ST / TREAT AV</t>
  </si>
  <si>
    <t>Joao</t>
  </si>
  <si>
    <t>800 Block of SOUTH VAN NESS AV</t>
  </si>
  <si>
    <t>4300 Block of 25TH ST</t>
  </si>
  <si>
    <t>Valeria</t>
  </si>
  <si>
    <t>1900 Block of 14TH AV</t>
  </si>
  <si>
    <t>Yasmeen</t>
  </si>
  <si>
    <t>1200 Block of HOWARD ST</t>
  </si>
  <si>
    <t>Cecilia</t>
  </si>
  <si>
    <t>800 Block of BURNETT AV</t>
  </si>
  <si>
    <t>Brent</t>
  </si>
  <si>
    <t>1500 Block of UNION ST</t>
  </si>
  <si>
    <t>Gray</t>
  </si>
  <si>
    <t>2400 Block of CALIFORNIA ST</t>
  </si>
  <si>
    <t>VT</t>
  </si>
  <si>
    <t>Kenny</t>
  </si>
  <si>
    <t>400 Block of 26TH AV</t>
  </si>
  <si>
    <t>Jasmine</t>
  </si>
  <si>
    <t>14TH ST / FOLSOM ST</t>
  </si>
  <si>
    <t>COLUMBUS AV / GREEN ST</t>
  </si>
  <si>
    <t>Alysha</t>
  </si>
  <si>
    <t>1500 Block of SLOAT BL</t>
  </si>
  <si>
    <t>Rashawn</t>
  </si>
  <si>
    <t>300 Block of GOLDEN GATE AV</t>
  </si>
  <si>
    <t>WI</t>
  </si>
  <si>
    <t>Jaime</t>
  </si>
  <si>
    <t>0 Block of LATONA ST</t>
  </si>
  <si>
    <t>Van</t>
  </si>
  <si>
    <t>3200 Block of 20TH AV</t>
  </si>
  <si>
    <t>LARKIN ST / SUTTER ST</t>
  </si>
  <si>
    <t>Samual</t>
  </si>
  <si>
    <t>0 Block of DUNCAN ST</t>
  </si>
  <si>
    <t>400 Block of GROVE ST</t>
  </si>
  <si>
    <t>2900 Block of 26TH ST</t>
  </si>
  <si>
    <t>1100 Block of FILLMORE ST</t>
  </si>
  <si>
    <t>Valencia</t>
  </si>
  <si>
    <t>400 Block of EDDY ST</t>
  </si>
  <si>
    <t>Employee_E_ID</t>
  </si>
  <si>
    <t>Shipment_Sh_ID</t>
  </si>
  <si>
    <t>Status_Sh_ID</t>
  </si>
  <si>
    <t>Start_date</t>
  </si>
  <si>
    <t>End_date</t>
  </si>
  <si>
    <t>Payment_ID</t>
  </si>
  <si>
    <t>SH_ID</t>
  </si>
  <si>
    <t>AMOUNT</t>
  </si>
  <si>
    <t>Payment_Status</t>
  </si>
  <si>
    <t>Payment_Mode</t>
  </si>
  <si>
    <t>Payment_Date</t>
  </si>
  <si>
    <t>313cd69e-66f3-11ea-9879-7077813058ce</t>
  </si>
  <si>
    <t>PAID</t>
  </si>
  <si>
    <t>CARD PAYMENT</t>
  </si>
  <si>
    <t>313dc140-66f3-11ea-a952-7077813058ce</t>
  </si>
  <si>
    <t>313eab1e-66f3-11ea-81af-7077813058ce</t>
  </si>
  <si>
    <t>NOT PAID</t>
  </si>
  <si>
    <t>313f474a-66f3-11ea-a78b-7077813058ce</t>
  </si>
  <si>
    <t>COD</t>
  </si>
  <si>
    <t>3140589a-66f3-11ea-a057-7077813058ce</t>
  </si>
  <si>
    <t>31411bc8-66f3-11ea-a4b7-7077813058ce</t>
  </si>
  <si>
    <t>3141defa-66f3-11ea-b10e-7077813058ce</t>
  </si>
  <si>
    <t>3142c940-66f3-11ea-9f69-7077813058ce</t>
  </si>
  <si>
    <t>31444fa8-66f3-11ea-912a-7077813058ce</t>
  </si>
  <si>
    <t>314539e6-66f3-11ea-bfa4-7077813058ce</t>
  </si>
  <si>
    <t>3145fd0a-66f3-11ea-958b-7077813058ce</t>
  </si>
  <si>
    <t>31469934-66f3-11ea-8572-7077813058ce</t>
  </si>
  <si>
    <t>3147355e-66f3-11ea-aae4-7077813058ce</t>
  </si>
  <si>
    <t>3147f89c-66f3-11ea-8dfd-7077813058ce</t>
  </si>
  <si>
    <t>3148bbc8-66f3-11ea-8acf-7077813058ce</t>
  </si>
  <si>
    <t>31497efa-66f3-11ea-9497-7077813058ce</t>
  </si>
  <si>
    <t>314a1b22-66f3-11ea-9e82-7077813058ce</t>
  </si>
  <si>
    <t>314ade58-66f3-11ea-8979-7077813058ce</t>
  </si>
  <si>
    <t>314b7a8a-66f3-11ea-97d4-7077813058ce</t>
  </si>
  <si>
    <t>314c8bcc-66f3-11ea-b526-7077813058ce</t>
  </si>
  <si>
    <t>314d761e-66f3-11ea-b155-7077813058ce</t>
  </si>
  <si>
    <t>314eae64-66f3-11ea-b08f-7077813058ce</t>
  </si>
  <si>
    <t>314f4a7a-66f3-11ea-8b83-7077813058ce</t>
  </si>
  <si>
    <t>315034c6-66f3-11ea-a2bf-7077813058ce</t>
  </si>
  <si>
    <t>31511efa-66f3-11ea-bc4c-7077813058ce</t>
  </si>
  <si>
    <t>3151e23a-66f3-11ea-9b38-7077813058ce</t>
  </si>
  <si>
    <t>3152a56c-66f3-11ea-9340-7077813058ce</t>
  </si>
  <si>
    <t>31534188-66f3-11ea-8acd-7077813058ce</t>
  </si>
  <si>
    <t>3153ddb4-66f3-11ea-a4d6-7077813058ce</t>
  </si>
  <si>
    <t>3154c800-66f3-11ea-8721-7077813058ce</t>
  </si>
  <si>
    <t>3155d94c-66f3-11ea-b116-7077813058ce</t>
  </si>
  <si>
    <t>31575fac-66f3-11ea-8d99-7077813058ce</t>
  </si>
  <si>
    <t>315897f8-66f3-11ea-ad46-7077813058ce</t>
  </si>
  <si>
    <t>3159d04c-66f3-11ea-95df-7077813058ce</t>
  </si>
  <si>
    <t>315aba8a-66f3-11ea-9db6-7077813058ce</t>
  </si>
  <si>
    <t>315b7db4-66f3-11ea-ae41-7077813058ce</t>
  </si>
  <si>
    <t>315c67f4-66f3-11ea-bcd7-7077813058ce</t>
  </si>
  <si>
    <t>315d041c-66f3-11ea-8af9-7077813058ce</t>
  </si>
  <si>
    <t>315da042-66f3-11ea-ac04-7077813058ce</t>
  </si>
  <si>
    <t>315e3c68-66f3-11ea-8d08-7077813058ce</t>
  </si>
  <si>
    <t>315f26ac-66f3-11ea-a883-7077813058ce</t>
  </si>
  <si>
    <t>315fe9e2-66f3-11ea-b80f-7077813058ce</t>
  </si>
  <si>
    <t>3160ad0c-66f3-11ea-961a-7077813058ce</t>
  </si>
  <si>
    <t>31619754-66f3-11ea-911d-7077813058ce</t>
  </si>
  <si>
    <t>3162337a-66f3-11ea-bf3c-7077813058ce</t>
  </si>
  <si>
    <t>3162cf9c-66f3-11ea-917a-7077813058ce</t>
  </si>
  <si>
    <t>31636bd2-66f3-11ea-aa21-7077813058ce</t>
  </si>
  <si>
    <t>31642f12-66f3-11ea-b553-7077813058ce</t>
  </si>
  <si>
    <t>3164f24c-66f3-11ea-bf87-7077813058ce</t>
  </si>
  <si>
    <t>3165b562-66f3-11ea-83de-7077813058ce</t>
  </si>
  <si>
    <t>316678a4-66f3-11ea-b7d3-7077813058ce</t>
  </si>
  <si>
    <t>31673bc8-66f3-11ea-803a-7077813058ce</t>
  </si>
  <si>
    <t>3167d7ee-66f3-11ea-a273-7077813058ce</t>
  </si>
  <si>
    <t>3168c236-66f3-11ea-ad73-7077813058ce</t>
  </si>
  <si>
    <t>3169fa82-66f3-11ea-a4aa-7077813058ce</t>
  </si>
  <si>
    <t>316abe90-66f3-11ea-b19a-7077813058ce</t>
  </si>
  <si>
    <t>316ba7f6-66f3-11ea-913f-7077813058ce</t>
  </si>
  <si>
    <t>316c441e-66f3-11ea-89de-7077813058ce</t>
  </si>
  <si>
    <t>316ce042-66f3-11ea-b223-7077813058ce</t>
  </si>
  <si>
    <t>316d7c6e-66f3-11ea-aad7-7077813058ce</t>
  </si>
  <si>
    <t>316e8db8-66f3-11ea-88c1-7077813058ce</t>
  </si>
  <si>
    <t>316f77f6-66f3-11ea-8aa2-7077813058ce</t>
  </si>
  <si>
    <t>3170141c-66f3-11ea-97a3-7077813058ce</t>
  </si>
  <si>
    <t>3170d834-66f3-11ea-b48e-7077813058ce</t>
  </si>
  <si>
    <t>31717452-66f3-11ea-9fcf-7077813058ce</t>
  </si>
  <si>
    <t>3172107a-66f3-11ea-ad07-7077813058ce</t>
  </si>
  <si>
    <t>3172d2fa-66f3-11ea-bad5-7077813058ce</t>
  </si>
  <si>
    <t>3173e41e-66f3-11ea-b5f4-7077813058ce</t>
  </si>
  <si>
    <t>3174f566-66f3-11ea-98c3-7077813058ce</t>
  </si>
  <si>
    <t>3175dfa2-66f3-11ea-b9d8-7077813058ce</t>
  </si>
  <si>
    <t>31767bca-66f3-11ea-848b-7077813058ce</t>
  </si>
  <si>
    <t>317717f0-66f3-11ea-b57c-7077813058ce</t>
  </si>
  <si>
    <t>3177db2e-66f3-11ea-99fe-7077813058ce</t>
  </si>
  <si>
    <t>3178c56c-66f3-11ea-9547-7077813058ce</t>
  </si>
  <si>
    <t>31796190-66f3-11ea-b0b6-7077813058ce</t>
  </si>
  <si>
    <t>3179fdb8-66f3-11ea-b117-7077813058ce</t>
  </si>
  <si>
    <t>317ac112-66f3-11ea-96bf-7077813058ce</t>
  </si>
  <si>
    <t>317b8422-66f3-11ea-8b90-7077813058ce</t>
  </si>
  <si>
    <t>317c204a-66f3-11ea-b627-7077813058ce</t>
  </si>
  <si>
    <t>317ce378-66f3-11ea-b64a-7077813058ce</t>
  </si>
  <si>
    <t>317dcdc0-66f3-11ea-a3ce-7077813058ce</t>
  </si>
  <si>
    <t>317e69e2-66f3-11ea-8d1d-7077813058ce</t>
  </si>
  <si>
    <t>317f5426-66f3-11ea-9e99-7077813058ce</t>
  </si>
  <si>
    <t>31803e5c-66f3-11ea-9cfa-7077813058ce</t>
  </si>
  <si>
    <t>3180da86-66f3-11ea-a8db-7077813058ce</t>
  </si>
  <si>
    <t>318176ac-66f3-11ea-8841-7077813058ce</t>
  </si>
  <si>
    <t>318260fe-66f3-11ea-a0f0-7077813058ce</t>
  </si>
  <si>
    <t>31832428-66f3-11ea-9902-7077813058ce</t>
  </si>
  <si>
    <t>31851fae-66f3-11ea-9f4d-7077813058ce</t>
  </si>
  <si>
    <t>31863106-66f3-11ea-8b2f-7077813058ce</t>
  </si>
  <si>
    <t>31876958-66f3-11ea-afcb-7077813058ce</t>
  </si>
  <si>
    <t>31885382-66f3-11ea-b84f-7077813058ce</t>
  </si>
  <si>
    <t>318916c0-66f3-11ea-8a7c-7077813058ce</t>
  </si>
  <si>
    <t>318a2800-66f3-11ea-b639-7077813058ce</t>
  </si>
  <si>
    <t>318b396c-66f3-11ea-9883-7077813058ce</t>
  </si>
  <si>
    <t>318cbfc6-66f3-11ea-b57f-7077813058ce</t>
  </si>
  <si>
    <t>318d82e8-66f3-11ea-9cca-7077813058ce</t>
  </si>
  <si>
    <t>318e4628-66f3-11ea-a70e-7077813058ce</t>
  </si>
  <si>
    <t>318f305e-66f3-11ea-b203-7077813058ce</t>
  </si>
  <si>
    <t>31901a98-66f3-11ea-830a-7077813058ce</t>
  </si>
  <si>
    <t>3190ddc6-66f3-11ea-8fea-7077813058ce</t>
  </si>
  <si>
    <t>3191ef06-66f3-11ea-bb69-7077813058ce</t>
  </si>
  <si>
    <t>31930050-66f3-11ea-8535-7077813058ce</t>
  </si>
  <si>
    <t>319438b6-66f3-11ea-9722-7077813058ce</t>
  </si>
  <si>
    <t>319549e8-66f3-11ea-85a4-7077813058ce</t>
  </si>
  <si>
    <t>31963430-66f3-11ea-bdc7-7077813058ce</t>
  </si>
  <si>
    <t>31971e6e-66f3-11ea-86f5-7077813058ce</t>
  </si>
  <si>
    <t>31987dc0-66f3-11ea-a59b-7077813058ce</t>
  </si>
  <si>
    <t>3199b61c-66f3-11ea-ab02-7077813058ce</t>
  </si>
  <si>
    <t>319ac762-66f3-11ea-b75f-7077813058ce</t>
  </si>
  <si>
    <t>319bfff4-66f3-11ea-8fba-7077813058ce</t>
  </si>
  <si>
    <t>319d3826-66f3-11ea-8b8d-7077813058ce</t>
  </si>
  <si>
    <t>319e9766-66f3-11ea-9392-7077813058ce</t>
  </si>
  <si>
    <t>319fa8a8-66f3-11ea-b17c-7077813058ce</t>
  </si>
  <si>
    <t>31a0e11a-66f3-11ea-999b-7077813058ce</t>
  </si>
  <si>
    <t>31a1cb62-66f3-11ea-81bc-7077813058ce</t>
  </si>
  <si>
    <t>31a2b586-66f3-11ea-a9ea-7077813058ce</t>
  </si>
  <si>
    <t>31a3c6d8-66f3-11ea-983d-7077813058ce</t>
  </si>
  <si>
    <t>31a489fa-66f3-11ea-9155-7077813058ce</t>
  </si>
  <si>
    <t>31a5c242-66f3-11ea-960b-7077813058ce</t>
  </si>
  <si>
    <t>31a6ac9c-66f3-11ea-926a-7077813058ce</t>
  </si>
  <si>
    <t>31a796d0-66f3-11ea-ae4e-7077813058ce</t>
  </si>
  <si>
    <t>31a859f0-66f3-11ea-8394-7077813058ce</t>
  </si>
  <si>
    <t>31a9925e-66f3-11ea-b9ab-7077813058ce</t>
  </si>
  <si>
    <t>31aa7c8c-66f3-11ea-bbd5-7077813058ce</t>
  </si>
  <si>
    <t>31ab66b6-66f3-11ea-b954-7077813058ce</t>
  </si>
  <si>
    <t>31ac02dc-66f3-11ea-8f7e-7077813058ce</t>
  </si>
  <si>
    <t>31aced36-66f3-11ea-b593-7077813058ce</t>
  </si>
  <si>
    <t>31add76e-66f3-11ea-bc98-7077813058ce</t>
  </si>
  <si>
    <t>31ae9a98-66f3-11ea-9239-7077813058ce</t>
  </si>
  <si>
    <t>31af36c0-66f3-11ea-9653-7077813058ce</t>
  </si>
  <si>
    <t>31affa0a-66f3-11ea-8464-7077813058ce</t>
  </si>
  <si>
    <t>31b0e428-66f3-11ea-8884-7077813058ce</t>
  </si>
  <si>
    <t>31b21c7a-66f3-11ea-b007-7077813058ce</t>
  </si>
  <si>
    <t>31b2dfd8-66f3-11ea-b094-7077813058ce</t>
  </si>
  <si>
    <t>31b3ca0a-66f3-11ea-bdb1-7077813058ce</t>
  </si>
  <si>
    <t>31b4db48-66f3-11ea-8ac6-7077813058ce</t>
  </si>
  <si>
    <t>31b6138a-66f3-11ea-a991-7077813058ce</t>
  </si>
  <si>
    <t>31b6fdd4-66f3-11ea-8bc0-7077813058ce</t>
  </si>
  <si>
    <t>31b80f2e-66f3-11ea-9f03-7077813058ce</t>
  </si>
  <si>
    <t>31b8ab40-66f3-11ea-a1ea-7077813058ce</t>
  </si>
  <si>
    <t>31b96e70-66f3-11ea-9a67-7077813058ce</t>
  </si>
  <si>
    <t>31ba31b0-66f3-11ea-b455-7077813058ce</t>
  </si>
  <si>
    <t>31bb1bfa-66f3-11ea-982b-7077813058ce</t>
  </si>
  <si>
    <t>31bbdf14-66f3-11ea-8012-7077813058ce</t>
  </si>
  <si>
    <t>31bca246-66f3-11ea-abf6-7077813058ce</t>
  </si>
  <si>
    <t>31bd8c92-66f3-11ea-9011-7077813058ce</t>
  </si>
  <si>
    <t>31be28b0-66f3-11ea-ac89-7077813058ce</t>
  </si>
  <si>
    <t>31beebdc-66f3-11ea-a06e-7077813058ce</t>
  </si>
  <si>
    <t>31bfaf0c-66f3-11ea-8a4e-7077813058ce</t>
  </si>
  <si>
    <t>31c07288-66f3-11ea-a2cf-7077813058ce</t>
  </si>
  <si>
    <t>31c1364c-66f3-11ea-82bf-7077813058ce</t>
  </si>
  <si>
    <t>31c1f8b4-66f3-11ea-8397-7077813058ce</t>
  </si>
  <si>
    <t>31c30a08-66f3-11ea-aba8-7077813058ce</t>
  </si>
  <si>
    <t>31c49062-66f3-11ea-ba20-7077813058ce</t>
  </si>
  <si>
    <t>31c616ba-66f3-11ea-afb3-7077813058ce</t>
  </si>
  <si>
    <t>31c6b2fe-66f3-11ea-9b07-7077813058ce</t>
  </si>
  <si>
    <t>31c77618-66f3-11ea-bb5b-7077813058ce</t>
  </si>
  <si>
    <t>31c8394a-66f3-11ea-bf8e-7077813058ce</t>
  </si>
  <si>
    <t>31c8fc98-66f3-11ea-b3c3-7077813058ce</t>
  </si>
  <si>
    <t>31c9e6be-66f3-11ea-9f95-7077813058ce</t>
  </si>
  <si>
    <t>31caa9ee-66f3-11ea-bce1-7077813058ce</t>
  </si>
  <si>
    <t>31cb461a-66f3-11ea-a37c-7077813058ce</t>
  </si>
  <si>
    <t>31cc0964-66f3-11ea-b6b3-7077813058ce</t>
  </si>
  <si>
    <t>31cccd64-66f3-11ea-a4c2-7077813058ce</t>
  </si>
  <si>
    <t>31cd8fca-66f3-11ea-97a4-7077813058ce</t>
  </si>
  <si>
    <t>31ce7a18-66f3-11ea-94eb-7077813058ce</t>
  </si>
  <si>
    <t>31cf3d24-66f3-11ea-8054-7077813058ce</t>
  </si>
  <si>
    <t>31d0006c-66f3-11ea-9c10-7077813058ce</t>
  </si>
  <si>
    <t>31d16094-66f3-11ea-b511-7077813058ce</t>
  </si>
  <si>
    <t>31d222e8-66f3-11ea-9b54-7077813058ce</t>
  </si>
  <si>
    <t>31d2e636-66f3-11ea-8df2-7077813058ce</t>
  </si>
  <si>
    <t>31d3f842-66f3-11ea-a75e-7077813058ce</t>
  </si>
  <si>
    <t>31d4bb6c-66f3-11ea-9ff7-7077813058ce</t>
  </si>
  <si>
    <t>31d5a4e4-66f3-11ea-861b-7077813058ce</t>
  </si>
  <si>
    <t>31d68f18-66f3-11ea-b8c4-7077813058ce</t>
  </si>
  <si>
    <t>31d77952-66f3-11ea-b47a-7077813058ce</t>
  </si>
  <si>
    <t>31d8638c-66f3-11ea-8b90-7077813058ce</t>
  </si>
  <si>
    <t>31d927a2-66f3-11ea-bb48-7077813058ce</t>
  </si>
  <si>
    <t>31d9eaca-66f3-11ea-b8c8-7077813058ce</t>
  </si>
  <si>
    <t>31da86f6-66f3-11ea-8b12-7077813058ce</t>
  </si>
  <si>
    <t>31db9768-66f3-11ea-883c-7077813058ce</t>
  </si>
  <si>
    <t>31dcf6d4-66f3-11ea-a647-7077813058ce</t>
  </si>
  <si>
    <t>31de0880-66f3-11ea-ab1e-7077813058ce</t>
  </si>
  <si>
    <t>31df1974-66f3-11ea-948f-7077813058ce</t>
  </si>
  <si>
    <t>31e02ac0-66f3-11ea-85d7-7077813058ce</t>
  </si>
  <si>
    <t>31e163c2-66f3-11ea-a771-7077813058ce</t>
  </si>
  <si>
    <t>31e27454-66f3-11ea-985a-7077813058ce</t>
  </si>
  <si>
    <t>31e3aca4-66f3-11ea-b4f1-7077813058ce</t>
  </si>
  <si>
    <t>31e496d4-66f3-11ea-ae24-7077813058ce</t>
  </si>
  <si>
    <t>31e5a810-66f3-11ea-b394-7077813058ce</t>
  </si>
  <si>
    <t>31e70780-66f3-11ea-a98c-7077813058ce</t>
  </si>
  <si>
    <t>31e7ca9a-66f3-11ea-a42b-7077813058ce</t>
  </si>
  <si>
    <t>31e92a06-66f3-11ea-a2c3-7077813058ce</t>
  </si>
  <si>
    <t>31ea3b58-66f3-11ea-bc9e-7077813058ce</t>
  </si>
  <si>
    <t>31eb4c8c-66f3-11ea-b7ad-7077813058ce</t>
  </si>
  <si>
    <t>31ebe8b4-66f3-11ea-b8ca-7077813058ce</t>
  </si>
  <si>
    <t>31ecabe2-66f3-11ea-9fa2-7077813058ce</t>
  </si>
  <si>
    <t>31ed6f18-66f3-11ea-af57-7077813058ce</t>
  </si>
  <si>
    <t>31ee3246-66f3-11ea-ae6c-7077813058ce</t>
  </si>
  <si>
    <t>SH_CONTENT</t>
  </si>
  <si>
    <t>SH_DOMAIN</t>
  </si>
  <si>
    <t>SER_TYPE</t>
  </si>
  <si>
    <t>SH_WEIGHT</t>
  </si>
  <si>
    <t>SH_CHARGES</t>
  </si>
  <si>
    <t>SR_ADDR</t>
  </si>
  <si>
    <t>DS_ADDR</t>
  </si>
  <si>
    <t>Healthcare</t>
  </si>
  <si>
    <t>Domestic</t>
  </si>
  <si>
    <t>Regular</t>
  </si>
  <si>
    <t>1800 Block of 26TH ST</t>
  </si>
  <si>
    <t>1200 Block of JACKSON ST</t>
  </si>
  <si>
    <t>International</t>
  </si>
  <si>
    <t>Express</t>
  </si>
  <si>
    <t>2600 Block of ALEMANY BL</t>
  </si>
  <si>
    <t>700 Block of HAMPSHIRE ST</t>
  </si>
  <si>
    <t>Luggage</t>
  </si>
  <si>
    <t>BARTLETT ST / 23RD ST</t>
  </si>
  <si>
    <t>500 Block of HAIGHT ST</t>
  </si>
  <si>
    <t>Home Furnishing</t>
  </si>
  <si>
    <t>1300 Block of 7TH AV</t>
  </si>
  <si>
    <t>300 Block of 9TH ST</t>
  </si>
  <si>
    <t>Electronics</t>
  </si>
  <si>
    <t>0 Block of EUREKA ST</t>
  </si>
  <si>
    <t>1800 Block of VANNESS AV</t>
  </si>
  <si>
    <t>Food and Beverages</t>
  </si>
  <si>
    <t>700 Block of VANNESS AV</t>
  </si>
  <si>
    <t>500 Block of LEAVENWORTH ST</t>
  </si>
  <si>
    <t>Fashion</t>
  </si>
  <si>
    <t>200 Block of BERRY ST</t>
  </si>
  <si>
    <t>CARROLL AV / JENNINGS ST</t>
  </si>
  <si>
    <t>Industrial Equipments</t>
  </si>
  <si>
    <t>1100 Block of FRANCISCO ST</t>
  </si>
  <si>
    <t>Hazardous Goods</t>
  </si>
  <si>
    <t>100 Block of NEWMONTGOMERY ST</t>
  </si>
  <si>
    <t>600 Block of SOUTH VAN NESS AV</t>
  </si>
  <si>
    <t>Automotive</t>
  </si>
  <si>
    <t>200 Block of SCOTT ST</t>
  </si>
  <si>
    <t>2600 Block of MISSION ST</t>
  </si>
  <si>
    <t>BELVEDERE ST / WALLER ST</t>
  </si>
  <si>
    <t>0 Block of CEDAR ST</t>
  </si>
  <si>
    <t>500 Block of FREDERICK ST</t>
  </si>
  <si>
    <t>1300 Block of CALIFORNIA ST</t>
  </si>
  <si>
    <t>0 Block of RAUSCH ST</t>
  </si>
  <si>
    <t>300 Block of CHENERY ST</t>
  </si>
  <si>
    <t>BUSH ST / BUCHANAN ST</t>
  </si>
  <si>
    <t>2600 Block of 18TH ST</t>
  </si>
  <si>
    <t>800 Block of 30TH AV</t>
  </si>
  <si>
    <t>Construction</t>
  </si>
  <si>
    <t>800 Block of GENEVA AV</t>
  </si>
  <si>
    <t>300 Block of 4TH ST</t>
  </si>
  <si>
    <t>100 Block of TOWNSEND ST</t>
  </si>
  <si>
    <t>15TH ST / SANCHEZ ST</t>
  </si>
  <si>
    <t>1700 Block of FULTON ST</t>
  </si>
  <si>
    <t>900 Block of ELLSWORTH ST</t>
  </si>
  <si>
    <t>400 Block of 28TH ST</t>
  </si>
  <si>
    <t>600 Block of FRANCISCO ST</t>
  </si>
  <si>
    <t>FELL ST / MASONIC AV</t>
  </si>
  <si>
    <t>900 Block of RANDOLPH ST</t>
  </si>
  <si>
    <t>Arts and crafts</t>
  </si>
  <si>
    <t>ELLIS ST / LAGUNA ST</t>
  </si>
  <si>
    <t>0 Block of HYDE ST</t>
  </si>
  <si>
    <t>100 Block of STEUART ST</t>
  </si>
  <si>
    <t>900 Block of VALENCIA ST</t>
  </si>
  <si>
    <t>700 Block of FOLSOM ST</t>
  </si>
  <si>
    <t>300 Block of ARBALLO DR</t>
  </si>
  <si>
    <t>1600 Block of VANNESS AV</t>
  </si>
  <si>
    <t>100 Block of PHELAN AV</t>
  </si>
  <si>
    <t>0 Block of GORDON ST</t>
  </si>
  <si>
    <t>600 Block of VALENCIA ST</t>
  </si>
  <si>
    <t>SHOTWELL ST / 17TH ST</t>
  </si>
  <si>
    <t>EDDY ST / HYDE ST</t>
  </si>
  <si>
    <t>1500 Block of BAKER ST</t>
  </si>
  <si>
    <t>LIPPARD AV / BOSWORTH ST</t>
  </si>
  <si>
    <t>100 Block of BERRY ST</t>
  </si>
  <si>
    <t>KERN ST / DIAMOND ST</t>
  </si>
  <si>
    <t>700 Block of HOWARD ST</t>
  </si>
  <si>
    <t>HARRISON ST / 3RD ST</t>
  </si>
  <si>
    <t>0 Block of LEE AV</t>
  </si>
  <si>
    <t>0 Block of FALLON PL</t>
  </si>
  <si>
    <t>STOCKTON ST / BROADWAY ST</t>
  </si>
  <si>
    <t>LAKE MERCED BL / BROTHERHOOD WAY</t>
  </si>
  <si>
    <t>HARRISON ST / THE EMBARCADEROSOUTH ST</t>
  </si>
  <si>
    <t>GEARY ST / POLK ST</t>
  </si>
  <si>
    <t>1600 Block of LASALLE AV</t>
  </si>
  <si>
    <t>1400 Block of DOUGLASS ST</t>
  </si>
  <si>
    <t>48TH AV / JUDAH ST</t>
  </si>
  <si>
    <t>100 Block of FONT BL</t>
  </si>
  <si>
    <t>1000 Block of KEY AV</t>
  </si>
  <si>
    <t>HOLLOWAY AV / BRIGHTON AV</t>
  </si>
  <si>
    <t>TAYLOR ST / GOLDEN GATE AV</t>
  </si>
  <si>
    <t>1800 Block of KIRKHAM ST</t>
  </si>
  <si>
    <t>500 Block of TUNNEL AV</t>
  </si>
  <si>
    <t>1600 Block of TURK ST</t>
  </si>
  <si>
    <t>100 Block of SPEAR ST</t>
  </si>
  <si>
    <t>200 Block of CHENERY ST</t>
  </si>
  <si>
    <t>2900 Block of DIAMOND ST</t>
  </si>
  <si>
    <t>400 Block of ROLPH ST</t>
  </si>
  <si>
    <t>BANCROFT AV / KEITH ST</t>
  </si>
  <si>
    <t>1100 Block of HUDSON AV</t>
  </si>
  <si>
    <t>MYRTLE ST / LARKIN ST</t>
  </si>
  <si>
    <t>STOCKTON ST / POST ST</t>
  </si>
  <si>
    <t>500 Block of MAGELLAN AV</t>
  </si>
  <si>
    <t>LEAVENWORTH ST / TURK ST</t>
  </si>
  <si>
    <t>1600 Block of 38TH AV</t>
  </si>
  <si>
    <t>3300 Block of MISSION ST</t>
  </si>
  <si>
    <t>4200 Block of 26TH ST</t>
  </si>
  <si>
    <t>0 Block of TURK ST</t>
  </si>
  <si>
    <t>BLAKE ST / GEARY BL</t>
  </si>
  <si>
    <t>BROADWAY ST / COLUMBUS AV</t>
  </si>
  <si>
    <t>WASHINGTON ST / DRUMM ST</t>
  </si>
  <si>
    <t>1200 Block of PINE ST</t>
  </si>
  <si>
    <t>EXECUTIVEPARK BL / ALANA WY</t>
  </si>
  <si>
    <t>900 Block of MISSION ST</t>
  </si>
  <si>
    <t>0 Block of BROOKDALE AV</t>
  </si>
  <si>
    <t>1300 Block of EGBERT AV</t>
  </si>
  <si>
    <t>3600 Block of 22ND ST</t>
  </si>
  <si>
    <t>200 Block of NAGLEE AV</t>
  </si>
  <si>
    <t>700 Block of 3RD ST</t>
  </si>
  <si>
    <t>FRANCISCO ST / JONES ST</t>
  </si>
  <si>
    <t>1700 Block of 25TH ST</t>
  </si>
  <si>
    <t>1300 Block of BROADWAY ST</t>
  </si>
  <si>
    <t>EARL ST / LASALLE AV</t>
  </si>
  <si>
    <t>1400 Block of KIRKWOOD CT</t>
  </si>
  <si>
    <t>CLARA ST / 4TH ST</t>
  </si>
  <si>
    <t>100 Block of ATOLL CR</t>
  </si>
  <si>
    <t>0 Block of STEINER ST</t>
  </si>
  <si>
    <t>1800 Block of 8TH AV</t>
  </si>
  <si>
    <t>JONES ST / GOLDEN GATE AV</t>
  </si>
  <si>
    <t>HARRISON ST / 11TH ST</t>
  </si>
  <si>
    <t>BROADWAY ST / KEARNY ST</t>
  </si>
  <si>
    <t>500 Block of HYDE ST</t>
  </si>
  <si>
    <t>400 Block of CAPP ST</t>
  </si>
  <si>
    <t>LARKIN ST / ELLIS ST</t>
  </si>
  <si>
    <t>2700 Block of DIAMOND ST</t>
  </si>
  <si>
    <t>6500 Block of 3RD ST</t>
  </si>
  <si>
    <t>800 Block of 33RD AV</t>
  </si>
  <si>
    <t>1500 Block of POWELL ST</t>
  </si>
  <si>
    <t>1100 Block of OCEAN AV</t>
  </si>
  <si>
    <t>900 Block of DEHARO ST</t>
  </si>
  <si>
    <t>BRYANT ST / 4TH ST</t>
  </si>
  <si>
    <t>900 Block of CONNECTICUT ST</t>
  </si>
  <si>
    <t>LEAVENWORTH ST / EDDY ST</t>
  </si>
  <si>
    <t>POLK ST / BEACH ST</t>
  </si>
  <si>
    <t>700 Block of LARKIN ST</t>
  </si>
  <si>
    <t>37TH AV / RIVERA ST</t>
  </si>
  <si>
    <t>1200 Block of 36TH AV</t>
  </si>
  <si>
    <t>FREMONT ST / HARRISON ST</t>
  </si>
  <si>
    <t>0 Block of CRESTLAKE DR</t>
  </si>
  <si>
    <t>400 Block of GENEVA AV</t>
  </si>
  <si>
    <t>POWELL ST / OFARRELL ST</t>
  </si>
  <si>
    <t>20TH ST / KANSAS ST</t>
  </si>
  <si>
    <t>JEFFERSON ST / TAYLOR ST</t>
  </si>
  <si>
    <t>4000 Block of 18TH ST</t>
  </si>
  <si>
    <t>500 Block of ELLIS ST</t>
  </si>
  <si>
    <t>1400 Block of 14TH AV</t>
  </si>
  <si>
    <t>1800 Block of DIVISADERO ST</t>
  </si>
  <si>
    <t>200 Block of 2ND ST</t>
  </si>
  <si>
    <t>2900 Block of TURK ST</t>
  </si>
  <si>
    <t>300 Block of DEMONTFORT AV</t>
  </si>
  <si>
    <t>300 Block of 10TH ST</t>
  </si>
  <si>
    <t>0 Block of CUMBERLAND ST</t>
  </si>
  <si>
    <t>200 Block of POPLAR ST</t>
  </si>
  <si>
    <t>1100 Block of POLK ST</t>
  </si>
  <si>
    <t>800 Block of OFARRELL ST</t>
  </si>
  <si>
    <t>16TH ST / UTAH ST</t>
  </si>
  <si>
    <t>800 Block of MISSION ST</t>
  </si>
  <si>
    <t>1500 Block of POLK ST</t>
  </si>
  <si>
    <t>600 Block of KANSAS ST</t>
  </si>
  <si>
    <t>1200 Block of NOE ST</t>
  </si>
  <si>
    <t>100 Block of BREWSTER ST</t>
  </si>
  <si>
    <t>900 Block of CAPITOL AV</t>
  </si>
  <si>
    <t>1700 Block of SUNNYDALE AV</t>
  </si>
  <si>
    <t>400 Block of BAKER ST</t>
  </si>
  <si>
    <t>SOUTH VAN NESS AV / 13TH ST</t>
  </si>
  <si>
    <t>22ND ST / CAROLINA ST</t>
  </si>
  <si>
    <t>2600 Block of FOLSOM ST</t>
  </si>
  <si>
    <t>3RD ST / PALOU AV</t>
  </si>
  <si>
    <t>2500 Block of MISSION ST</t>
  </si>
  <si>
    <t>2600 Block of 34TH AV</t>
  </si>
  <si>
    <t>500 Block of 9TH ST</t>
  </si>
  <si>
    <t>300 Block of OFARRELL ST</t>
  </si>
  <si>
    <t>0 Block of RAE AV</t>
  </si>
  <si>
    <t>DIVISADERO ST / JACKSON ST</t>
  </si>
  <si>
    <t>0 Block of DESOTO ST</t>
  </si>
  <si>
    <t>SILLIMAN ST / BOWDOIN ST</t>
  </si>
  <si>
    <t>200 Block of LEAVENWORTH ST</t>
  </si>
  <si>
    <t>2300 Block of CHESTNUT ST</t>
  </si>
  <si>
    <t>LAKE MERCED BL / SUNSET BL</t>
  </si>
  <si>
    <t>500 Block of VALENCIA ST</t>
  </si>
  <si>
    <t>6TH ST / STEVENSON ST</t>
  </si>
  <si>
    <t>800 Block of 47TH AV</t>
  </si>
  <si>
    <t>0 Block of LURLINE ST</t>
  </si>
  <si>
    <t>KEITH ST / THOMAS AV</t>
  </si>
  <si>
    <t>100 Block of CAPP ST</t>
  </si>
  <si>
    <t>LYON ST / OFARRELL ST</t>
  </si>
  <si>
    <t>0 Block of HARRISON ST</t>
  </si>
  <si>
    <t>1200 Block of GOLDEN GATE AV</t>
  </si>
  <si>
    <t>1400 Block of RANKIN ST</t>
  </si>
  <si>
    <t>1800 Block of DONNER AV</t>
  </si>
  <si>
    <t>19TH AV / LINCOLN WY</t>
  </si>
  <si>
    <t>800 Block of INGERSON AV</t>
  </si>
  <si>
    <t>MISSION ST / 2ND ST</t>
  </si>
  <si>
    <t>1300 Block of REVERE AV</t>
  </si>
  <si>
    <t>0 Block of WILLIAR AV</t>
  </si>
  <si>
    <t>0 Block of DORE ST</t>
  </si>
  <si>
    <t>100 Block of TURK ST</t>
  </si>
  <si>
    <t>500 Block of BRANNAN ST</t>
  </si>
  <si>
    <t>PIERCE ST / LOMBARD ST</t>
  </si>
  <si>
    <t>8TH AV / CLEMENT ST</t>
  </si>
  <si>
    <t>1700 Block of NEWCOMB AV</t>
  </si>
  <si>
    <t>1500 Block of LASALLE AV</t>
  </si>
  <si>
    <t>2300 Block of 25TH AV</t>
  </si>
  <si>
    <t>HOLLYPARK CR / MURRAY ST</t>
  </si>
  <si>
    <t>1100 Block of CONNECTICUT ST</t>
  </si>
  <si>
    <t>1700 Block of 22ND AV</t>
  </si>
  <si>
    <t>0 Block of LEAVENWORTH ST</t>
  </si>
  <si>
    <t>500 Block of 41ST AV</t>
  </si>
  <si>
    <t>500 Block of GUERRERO ST</t>
  </si>
  <si>
    <t>ELLIS ST / HYDE ST</t>
  </si>
  <si>
    <t>0 Block of CASTLEMANOR AV</t>
  </si>
  <si>
    <t>LANE ST / REVERE AV</t>
  </si>
  <si>
    <t>GEARY ST / HYDE ST</t>
  </si>
  <si>
    <t>500 Block of 39TH AV</t>
  </si>
  <si>
    <t>600 Block of MISSION ST</t>
  </si>
  <si>
    <t>1400 Block of CLAY ST</t>
  </si>
  <si>
    <t>5600 Block of DIAMONDHEIGHTS BL</t>
  </si>
  <si>
    <t>100 Block of ELLIOT ST</t>
  </si>
  <si>
    <t>4600 Block of IRVING ST</t>
  </si>
  <si>
    <t>200 Block of TURK ST</t>
  </si>
  <si>
    <t>0 Block of ANKENY ST</t>
  </si>
  <si>
    <t>NATOMA ST / 2ND ST</t>
  </si>
  <si>
    <t>3500 Block of MISSION ST</t>
  </si>
  <si>
    <t>1600 Block of DONNER AV</t>
  </si>
  <si>
    <t>800 Block of LARKIN ST</t>
  </si>
  <si>
    <t>100 Block of PERSIA AV</t>
  </si>
  <si>
    <t>100 Block of POWELL ST</t>
  </si>
  <si>
    <t>1600 Block of 39TH AV</t>
  </si>
  <si>
    <t>PARNASSUS AV / CLAYTON ST</t>
  </si>
  <si>
    <t>MARKET ST / CHURCH ST</t>
  </si>
  <si>
    <t>LOMBARD ST / LEAVENWORTH ST</t>
  </si>
  <si>
    <t>100 Block of UPPER TR</t>
  </si>
  <si>
    <t>POST ST / HYDE ST</t>
  </si>
  <si>
    <t>300 Block of SALINAS AV</t>
  </si>
  <si>
    <t>1900 Block of FILLMORE ST</t>
  </si>
  <si>
    <t>0 Block of GOLDEN GATE AV</t>
  </si>
  <si>
    <t>900 Block of MARIPOSA ST</t>
  </si>
  <si>
    <t>MINNA ST / 5TH ST</t>
  </si>
  <si>
    <t>MARKET ST / 5TH ST</t>
  </si>
  <si>
    <t>200 Block of MISSOURI ST</t>
  </si>
  <si>
    <t>0 Block of UNITEDNATIONS PZ</t>
  </si>
  <si>
    <t>200 Block of HAHN ST</t>
  </si>
  <si>
    <t>300 Block of BUCHANAN ST</t>
  </si>
  <si>
    <t>2800 Block of BRYANT ST</t>
  </si>
  <si>
    <t>4000 Block of GEARY BL</t>
  </si>
  <si>
    <t>3100 Block of 23RD ST</t>
  </si>
  <si>
    <t>GEARY ST / POWELL ST</t>
  </si>
  <si>
    <t>ALEMANY BL / ELLSWORTH ST</t>
  </si>
  <si>
    <t>4TH ST / HARRISON ST</t>
  </si>
  <si>
    <t>600 Block of CLAY ST</t>
  </si>
  <si>
    <t>700 Block of BATTERY ST</t>
  </si>
  <si>
    <t>0 Block of MARINA BL</t>
  </si>
  <si>
    <t>5TH ST / MARKET ST</t>
  </si>
  <si>
    <t>MONTGOMERY ST / VALLEJO ST</t>
  </si>
  <si>
    <t>BEACH ST / TAYLOR ST</t>
  </si>
  <si>
    <t>TARAVAL ST / 17TH AV</t>
  </si>
  <si>
    <t>19TH ST / SHOTWELL ST</t>
  </si>
  <si>
    <t>7TH ST / STEVENSON ST</t>
  </si>
  <si>
    <t>2300 Block of 14TH AV</t>
  </si>
  <si>
    <t>0 Block of 12TH ST</t>
  </si>
  <si>
    <t>2100 Block of MISSION ST</t>
  </si>
  <si>
    <t>1100 Block of FOLSOM ST</t>
  </si>
  <si>
    <t>1400 Block of VANDYKE AV</t>
  </si>
  <si>
    <t>EDDY ST / VANNESS AV</t>
  </si>
  <si>
    <t>300 Block of COLLINGWOOD ST</t>
  </si>
  <si>
    <t>21ST ST / POTRERO AV</t>
  </si>
  <si>
    <t>200 Block of 11TH AV</t>
  </si>
  <si>
    <t>400 Block of TURK ST</t>
  </si>
  <si>
    <t>17TH ST / FOLSOM ST</t>
  </si>
  <si>
    <t>400 Block of BRIGHT ST</t>
  </si>
  <si>
    <t>KEITH ST / SHAFTER AV</t>
  </si>
  <si>
    <t>0 Block of SPOFFORD LN</t>
  </si>
  <si>
    <t>900 Block of LARKIN ST</t>
  </si>
  <si>
    <t>900 Block of STOCKTON ST</t>
  </si>
  <si>
    <t>MADRID ST / RUSSIA AV</t>
  </si>
  <si>
    <t>0 Block of PAYSON ST</t>
  </si>
  <si>
    <t>500 Block of STEVENSON ST</t>
  </si>
  <si>
    <t>HYDE ST / TURK ST</t>
  </si>
  <si>
    <t>CALIFORNIA ST / DAVIS ST</t>
  </si>
  <si>
    <t>NEWCOMB AV / 3RD ST</t>
  </si>
  <si>
    <t>1000 Block of COLUMBUS AV</t>
  </si>
  <si>
    <t>1400 Block of PHELPS ST</t>
  </si>
  <si>
    <t>3800 Block of 24TH ST</t>
  </si>
  <si>
    <t>5TH ST / MISSION ST</t>
  </si>
  <si>
    <t>1500 Block of HAIGHT ST</t>
  </si>
  <si>
    <t>3600 Block of SACRAMENTO ST</t>
  </si>
  <si>
    <t>SCOTT ST / CHESTNUT ST</t>
  </si>
  <si>
    <t>300 Block of HAIGHT ST</t>
  </si>
  <si>
    <t>3300 Block of BALBOA ST</t>
  </si>
  <si>
    <t>200 Block of KING ST</t>
  </si>
  <si>
    <t>0 Block of FUENTE AV</t>
  </si>
  <si>
    <t>LASALLE AV / PHELPS ST</t>
  </si>
  <si>
    <t>3300 Block of 22ND ST</t>
  </si>
  <si>
    <t>CALIFORNIA ST / POLK ST</t>
  </si>
  <si>
    <t>16TH ST / MISSOURI ST</t>
  </si>
  <si>
    <t>200 Block of HARKNESS AV</t>
  </si>
  <si>
    <t>WINSTON DR / 19TH AV</t>
  </si>
  <si>
    <t>300 Block of BEALE ST</t>
  </si>
  <si>
    <t>2100 Block of 16TH AV</t>
  </si>
  <si>
    <t>1900 Block of WASHINGTON ST</t>
  </si>
  <si>
    <t>MARTIN LUTHER KING JR DR / 9TH AV</t>
  </si>
  <si>
    <t>3RD AV / BALBOA ST</t>
  </si>
  <si>
    <t>400 Block of LAKESHORE DR</t>
  </si>
  <si>
    <t>3800 Block of MISSION ST</t>
  </si>
  <si>
    <t>100 Block of PAGE ST</t>
  </si>
  <si>
    <t>VALLEJO ST / KEARNY ST</t>
  </si>
  <si>
    <t>GOLDEN GATE AV / LEAVENWORTH ST</t>
  </si>
  <si>
    <t>500 Block of HOWARD ST</t>
  </si>
  <si>
    <t>500 Block of JACKSON ST</t>
  </si>
  <si>
    <t>2ND ST / TOWNSEND ST</t>
  </si>
  <si>
    <t>900 Block of THE EMBARCADERO NORTH ST</t>
  </si>
  <si>
    <t>2500 Block of OCTAVIA ST</t>
  </si>
  <si>
    <t>600 Block of GOETTINGEN ST</t>
  </si>
  <si>
    <t>100 Block of 6TH ST</t>
  </si>
  <si>
    <t>1000 Block of SUTTER ST</t>
  </si>
  <si>
    <t>800 Block of 3RD ST</t>
  </si>
  <si>
    <t>100 Block of MONTGOMERY ST</t>
  </si>
  <si>
    <t>600 Block of PRENTISS ST</t>
  </si>
  <si>
    <t>BARTLETT ST / 21ST ST</t>
  </si>
  <si>
    <t>FELL ST / POLK ST</t>
  </si>
  <si>
    <t>700 Block of SWEENY ST</t>
  </si>
  <si>
    <t>0 Block of CAMERON WY</t>
  </si>
  <si>
    <t>200 Block of DORE ST</t>
  </si>
  <si>
    <t>FILLMORE ST / OFARRELL ST</t>
  </si>
  <si>
    <t>HAWTHORNE ST / HARRISON ST</t>
  </si>
  <si>
    <t>SUTTER ST / LAGUNA ST</t>
  </si>
  <si>
    <t>SOUTH VAN NESS AV / 22ND ST</t>
  </si>
  <si>
    <t>Current_Status</t>
  </si>
  <si>
    <t>Sent_date</t>
  </si>
  <si>
    <t>Delivery_date</t>
  </si>
  <si>
    <t>DELIVERED</t>
  </si>
  <si>
    <t>NOT DELIVERED</t>
  </si>
  <si>
    <t>Clean_Email</t>
  </si>
  <si>
    <t>Clean_Name</t>
  </si>
  <si>
    <t>Membership_start_date</t>
  </si>
  <si>
    <t>Membership_end_date</t>
  </si>
  <si>
    <t>Sent_Date</t>
  </si>
  <si>
    <t>Delivery_Date</t>
  </si>
  <si>
    <t>Payment_Category</t>
  </si>
  <si>
    <t>Row Labels</t>
  </si>
  <si>
    <t>Grand Total</t>
  </si>
  <si>
    <t>Average of SH_WEIGHT</t>
  </si>
  <si>
    <t>Membership_Duration</t>
  </si>
  <si>
    <t>Total_Customer_Payment</t>
  </si>
  <si>
    <t>Sum of AMOUNT</t>
  </si>
  <si>
    <t>Count of SH_DOMAIN</t>
  </si>
  <si>
    <t>Count of Shipment_Sh_ID</t>
  </si>
  <si>
    <t>Employee_ID</t>
  </si>
  <si>
    <t>Emploee Name</t>
  </si>
  <si>
    <t>Designation</t>
  </si>
  <si>
    <t>Branch</t>
  </si>
  <si>
    <t>Column Labels</t>
  </si>
  <si>
    <t>Average of AMOUNT</t>
  </si>
  <si>
    <t>Weight_Category</t>
  </si>
  <si>
    <t>Delivery_Time</t>
  </si>
  <si>
    <t>Average of Delivery_Time</t>
  </si>
  <si>
    <t>Shipment_charges</t>
  </si>
  <si>
    <t>Average of Shipment_charges</t>
  </si>
  <si>
    <t>Efficiency</t>
  </si>
  <si>
    <t>Average of Efficiency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</si>
</sst>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0" fontId="0" fillId="0" borderId="0" xfId="0" applyAlignment="1">
      <alignment horizontal="left" indent="1"/>
    </xf>
  </cellXfs>
  <cellStyles count="1">
    <cellStyle name="Normal" xfId="0" builtinId="0"/>
  </cellStyles>
  <dxfs count="75">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color rgb="FF9C0006"/>
      </font>
      <fill>
        <patternFill>
          <bgColor rgb="FFFFC7CE"/>
        </patternFill>
      </fil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2" formatCode="0.00"/>
    </dxf>
    <dxf>
      <numFmt numFmtId="2" formatCode="0.00"/>
    </dxf>
    <dxf>
      <numFmt numFmtId="164" formatCode="0.0000"/>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19" formatCode="m/d/yyyy"/>
    </dxf>
    <dxf>
      <numFmt numFmtId="19" formatCode="m/d/yyyy"/>
    </dxf>
    <dxf>
      <numFmt numFmtId="0" formatCode="General"/>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[DA05_Analysis_2.xlsx]Shipment_efficiency_analysis!PivotTable11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Shipment_efficiency_analysis!$B$3</c:f>
              <c:strCache>
                <c:ptCount val="1"/>
                <c:pt idx="0">
                  <c:v>Total</c:v>
                </c:pt>
              </c:strCache>
            </c:strRef>
          </c:tx>
          <c:spPr>
            <a:solidFill>
              <a:schemeClr val="accent1"/>
            </a:solidFill>
            <a:ln>
              <a:noFill/>
            </a:ln>
            <a:effectLst/>
          </c:spPr>
          <c:invertIfNegative val="0"/>
          <c:cat>
            <c:multiLvlStrRef>
              <c:f>Shipment_efficiency_analysis!$A$4:$A$6</c:f>
              <c:multiLvlStrCache>
                <c:ptCount val="1"/>
                <c:lvl>
                  <c:pt idx="0">
                    <c:v>Express</c:v>
                  </c:pt>
                </c:lvl>
                <c:lvl>
                  <c:pt idx="0">
                    <c:v>Domestic</c:v>
                  </c:pt>
                </c:lvl>
              </c:multiLvlStrCache>
            </c:multiLvlStrRef>
          </c:cat>
          <c:val>
            <c:numRef>
              <c:f>Shipment_efficiency_analysis!$B$4:$B$6</c:f>
              <c:numCache>
                <c:formatCode>0.0000</c:formatCode>
                <c:ptCount val="1"/>
                <c:pt idx="0">
                  <c:v>0.53887399409530001</c:v>
                </c:pt>
              </c:numCache>
            </c:numRef>
          </c:val>
          <c:extLst>
            <c:ext xmlns:c16="http://schemas.microsoft.com/office/drawing/2014/chart" uri="{C3380CC4-5D6E-409C-BE32-E72D297353CC}">
              <c16:uniqueId val="{00000000-6DF4-4031-998A-6895FE1E1700}"/>
            </c:ext>
          </c:extLst>
        </c:ser>
        <c:dLbls>
          <c:showLegendKey val="0"/>
          <c:showVal val="0"/>
          <c:showCatName val="0"/>
          <c:showSerName val="0"/>
          <c:showPercent val="0"/>
          <c:showBubbleSize val="0"/>
        </c:dLbls>
        <c:gapWidth val="219"/>
        <c:overlap val="-27"/>
        <c:axId val="925497136"/>
        <c:axId val="925497616"/>
      </c:barChart>
      <c:catAx>
        <c:axId val="92549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497616"/>
        <c:crosses val="autoZero"/>
        <c:auto val="1"/>
        <c:lblAlgn val="ctr"/>
        <c:lblOffset val="100"/>
        <c:noMultiLvlLbl val="0"/>
      </c:catAx>
      <c:valAx>
        <c:axId val="925497616"/>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49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157162</xdr:rowOff>
    </xdr:from>
    <xdr:to>
      <xdr:col>11</xdr:col>
      <xdr:colOff>304800</xdr:colOff>
      <xdr:row>16</xdr:row>
      <xdr:rowOff>42862</xdr:rowOff>
    </xdr:to>
    <xdr:graphicFrame macro="">
      <xdr:nvGraphicFramePr>
        <xdr:cNvPr id="2" name="Chart 1">
          <a:extLst>
            <a:ext uri="{FF2B5EF4-FFF2-40B4-BE49-F238E27FC236}">
              <a16:creationId xmlns:a16="http://schemas.microsoft.com/office/drawing/2014/main" id="{1661D57E-C946-B9D3-2437-57C8973A7C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714375</xdr:colOff>
      <xdr:row>11</xdr:row>
      <xdr:rowOff>9525</xdr:rowOff>
    </xdr:from>
    <xdr:to>
      <xdr:col>3</xdr:col>
      <xdr:colOff>276225</xdr:colOff>
      <xdr:row>16</xdr:row>
      <xdr:rowOff>114300</xdr:rowOff>
    </xdr:to>
    <mc:AlternateContent xmlns:mc="http://schemas.openxmlformats.org/markup-compatibility/2006" xmlns:a14="http://schemas.microsoft.com/office/drawing/2010/main">
      <mc:Choice Requires="a14">
        <xdr:graphicFrame macro="">
          <xdr:nvGraphicFramePr>
            <xdr:cNvPr id="3" name="SH_DOMAIN">
              <a:extLst>
                <a:ext uri="{FF2B5EF4-FFF2-40B4-BE49-F238E27FC236}">
                  <a16:creationId xmlns:a16="http://schemas.microsoft.com/office/drawing/2014/main" id="{8EAB81C0-B0D3-7AB9-45EF-48D9787CCA70}"/>
                </a:ext>
              </a:extLst>
            </xdr:cNvPr>
            <xdr:cNvGraphicFramePr/>
          </xdr:nvGraphicFramePr>
          <xdr:xfrm>
            <a:off x="0" y="0"/>
            <a:ext cx="0" cy="0"/>
          </xdr:xfrm>
          <a:graphic>
            <a:graphicData uri="http://schemas.microsoft.com/office/drawing/2010/slicer">
              <sle:slicer xmlns:sle="http://schemas.microsoft.com/office/drawing/2010/slicer" name="SH_DOMAIN"/>
            </a:graphicData>
          </a:graphic>
        </xdr:graphicFrame>
      </mc:Choice>
      <mc:Fallback xmlns="">
        <xdr:sp macro="" textlink="">
          <xdr:nvSpPr>
            <xdr:cNvPr id="0" name=""/>
            <xdr:cNvSpPr>
              <a:spLocks noTextEdit="1"/>
            </xdr:cNvSpPr>
          </xdr:nvSpPr>
          <xdr:spPr>
            <a:xfrm>
              <a:off x="1676400" y="2105025"/>
              <a:ext cx="1514475" cy="1057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9525</xdr:rowOff>
    </xdr:from>
    <xdr:to>
      <xdr:col>1</xdr:col>
      <xdr:colOff>666750</xdr:colOff>
      <xdr:row>16</xdr:row>
      <xdr:rowOff>66675</xdr:rowOff>
    </xdr:to>
    <mc:AlternateContent xmlns:mc="http://schemas.openxmlformats.org/markup-compatibility/2006" xmlns:a14="http://schemas.microsoft.com/office/drawing/2010/main">
      <mc:Choice Requires="a14">
        <xdr:graphicFrame macro="">
          <xdr:nvGraphicFramePr>
            <xdr:cNvPr id="4" name="SER_TYPE">
              <a:extLst>
                <a:ext uri="{FF2B5EF4-FFF2-40B4-BE49-F238E27FC236}">
                  <a16:creationId xmlns:a16="http://schemas.microsoft.com/office/drawing/2014/main" id="{29FD80ED-826F-0435-93BC-EF32EE3E8942}"/>
                </a:ext>
              </a:extLst>
            </xdr:cNvPr>
            <xdr:cNvGraphicFramePr/>
          </xdr:nvGraphicFramePr>
          <xdr:xfrm>
            <a:off x="0" y="0"/>
            <a:ext cx="0" cy="0"/>
          </xdr:xfrm>
          <a:graphic>
            <a:graphicData uri="http://schemas.microsoft.com/office/drawing/2010/slicer">
              <sle:slicer xmlns:sle="http://schemas.microsoft.com/office/drawing/2010/slicer" name="SER_TYPE"/>
            </a:graphicData>
          </a:graphic>
        </xdr:graphicFrame>
      </mc:Choice>
      <mc:Fallback xmlns="">
        <xdr:sp macro="" textlink="">
          <xdr:nvSpPr>
            <xdr:cNvPr id="0" name=""/>
            <xdr:cNvSpPr>
              <a:spLocks noTextEdit="1"/>
            </xdr:cNvSpPr>
          </xdr:nvSpPr>
          <xdr:spPr>
            <a:xfrm>
              <a:off x="0" y="2105025"/>
              <a:ext cx="1562100"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581025</xdr:colOff>
      <xdr:row>1</xdr:row>
      <xdr:rowOff>123825</xdr:rowOff>
    </xdr:from>
    <xdr:to>
      <xdr:col>5</xdr:col>
      <xdr:colOff>581025</xdr:colOff>
      <xdr:row>15</xdr:row>
      <xdr:rowOff>123825</xdr:rowOff>
    </xdr:to>
    <mc:AlternateContent xmlns:mc="http://schemas.openxmlformats.org/markup-compatibility/2006" xmlns:a14="http://schemas.microsoft.com/office/drawing/2010/main">
      <mc:Choice Requires="a14">
        <xdr:graphicFrame macro="">
          <xdr:nvGraphicFramePr>
            <xdr:cNvPr id="2" name="Designation">
              <a:extLst>
                <a:ext uri="{FF2B5EF4-FFF2-40B4-BE49-F238E27FC236}">
                  <a16:creationId xmlns:a16="http://schemas.microsoft.com/office/drawing/2014/main" id="{965ED68D-EC6D-5B29-C9C6-7DF619B3C0D4}"/>
                </a:ext>
              </a:extLst>
            </xdr:cNvPr>
            <xdr:cNvGraphicFramePr/>
          </xdr:nvGraphicFramePr>
          <xdr:xfrm>
            <a:off x="0" y="0"/>
            <a:ext cx="0" cy="0"/>
          </xdr:xfrm>
          <a:graphic>
            <a:graphicData uri="http://schemas.microsoft.com/office/drawing/2010/slicer">
              <sle:slicer xmlns:sle="http://schemas.microsoft.com/office/drawing/2010/slicer" name="Designation"/>
            </a:graphicData>
          </a:graphic>
        </xdr:graphicFrame>
      </mc:Choice>
      <mc:Fallback xmlns="">
        <xdr:sp macro="" textlink="">
          <xdr:nvSpPr>
            <xdr:cNvPr id="0" name=""/>
            <xdr:cNvSpPr>
              <a:spLocks noTextEdit="1"/>
            </xdr:cNvSpPr>
          </xdr:nvSpPr>
          <xdr:spPr>
            <a:xfrm>
              <a:off x="3600450" y="3143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61.541797685182" createdVersion="8" refreshedVersion="8" minRefreshableVersion="3" recordCount="200" xr:uid="{A109576C-40EF-44F6-9FC3-E30C41460A09}">
  <cacheSource type="worksheet">
    <worksheetSource name="Payment_Details"/>
  </cacheSource>
  <cacheFields count="9">
    <cacheField name="Payment_ID" numFmtId="0">
      <sharedItems/>
    </cacheField>
    <cacheField name="C_ID" numFmtId="0">
      <sharedItems containsSemiMixedTypes="0" containsString="0" containsNumber="1" containsInteger="1" minValue="3" maxValue="9968" count="200">
        <n v="230"/>
        <n v="3189"/>
        <n v="2216"/>
        <n v="1904"/>
        <n v="7342"/>
        <n v="7633"/>
        <n v="2154"/>
        <n v="5543"/>
        <n v="2332"/>
        <n v="4094"/>
        <n v="3042"/>
        <n v="2220"/>
        <n v="4988"/>
        <n v="175"/>
        <n v="4233"/>
        <n v="4351"/>
        <n v="5578"/>
        <n v="4523"/>
        <n v="2972"/>
        <n v="6153"/>
        <n v="4852"/>
        <n v="8106"/>
        <n v="3917"/>
        <n v="9377"/>
        <n v="5387"/>
        <n v="6513"/>
        <n v="3965"/>
        <n v="8893"/>
        <n v="1897"/>
        <n v="390"/>
        <n v="3633"/>
        <n v="7828"/>
        <n v="2241"/>
        <n v="896"/>
        <n v="6361"/>
        <n v="6713"/>
        <n v="4283"/>
        <n v="9486"/>
        <n v="308"/>
        <n v="8927"/>
        <n v="249"/>
        <n v="2620"/>
        <n v="1164"/>
        <n v="4711"/>
        <n v="4053"/>
        <n v="4272"/>
        <n v="7005"/>
        <n v="2308"/>
        <n v="5150"/>
        <n v="693"/>
        <n v="9598"/>
        <n v="8103"/>
        <n v="8894"/>
        <n v="114"/>
        <n v="6546"/>
        <n v="3571"/>
        <n v="7316"/>
        <n v="2478"/>
        <n v="1215"/>
        <n v="5402"/>
        <n v="1647"/>
        <n v="9423"/>
        <n v="6404"/>
        <n v="6767"/>
        <n v="1278"/>
        <n v="1334"/>
        <n v="8887"/>
        <n v="9858"/>
        <n v="9636"/>
        <n v="9943"/>
        <n v="1246"/>
        <n v="4527"/>
        <n v="3782"/>
        <n v="6225"/>
        <n v="2257"/>
        <n v="9177"/>
        <n v="8703"/>
        <n v="3514"/>
        <n v="3089"/>
        <n v="7253"/>
        <n v="8786"/>
        <n v="1211"/>
        <n v="359"/>
        <n v="2066"/>
        <n v="4322"/>
        <n v="7773"/>
        <n v="6746"/>
        <n v="6732"/>
        <n v="805"/>
        <n v="7540"/>
        <n v="5269"/>
        <n v="8404"/>
        <n v="519"/>
        <n v="4060"/>
        <n v="8860"/>
        <n v="7164"/>
        <n v="9792"/>
        <n v="9934"/>
        <n v="1980"/>
        <n v="9251"/>
        <n v="6717"/>
        <n v="3622"/>
        <n v="8808"/>
        <n v="4920"/>
        <n v="3140"/>
        <n v="8104"/>
        <n v="2208"/>
        <n v="7043"/>
        <n v="7485"/>
        <n v="1748"/>
        <n v="9968"/>
        <n v="5330"/>
        <n v="2183"/>
        <n v="2182"/>
        <n v="1087"/>
        <n v="4296"/>
        <n v="9784"/>
        <n v="6210"/>
        <n v="5781"/>
        <n v="8306"/>
        <n v="3270"/>
        <n v="6787"/>
        <n v="3733"/>
        <n v="207"/>
        <n v="3"/>
        <n v="1896"/>
        <n v="9631"/>
        <n v="3132"/>
        <n v="1202"/>
        <n v="8834"/>
        <n v="1201"/>
        <n v="2573"/>
        <n v="6759"/>
        <n v="2601"/>
        <n v="2656"/>
        <n v="9645"/>
        <n v="584"/>
        <n v="2121"/>
        <n v="2142"/>
        <n v="2396"/>
        <n v="8747"/>
        <n v="4142"/>
        <n v="9770"/>
        <n v="2593"/>
        <n v="9807"/>
        <n v="2525"/>
        <n v="1724"/>
        <n v="7146"/>
        <n v="563"/>
        <n v="7771"/>
        <n v="4789"/>
        <n v="3221"/>
        <n v="5197"/>
        <n v="8183"/>
        <n v="1126"/>
        <n v="4899"/>
        <n v="4732"/>
        <n v="4103"/>
        <n v="7861"/>
        <n v="7764"/>
        <n v="5345"/>
        <n v="6191"/>
        <n v="310"/>
        <n v="3095"/>
        <n v="2159"/>
        <n v="3569"/>
        <n v="5958"/>
        <n v="1275"/>
        <n v="6357"/>
        <n v="4551"/>
        <n v="4252"/>
        <n v="2096"/>
        <n v="5209"/>
        <n v="9271"/>
        <n v="6772"/>
        <n v="4628"/>
        <n v="3853"/>
        <n v="515"/>
        <n v="7513"/>
        <n v="9030"/>
        <n v="2378"/>
        <n v="5894"/>
        <n v="7587"/>
        <n v="1424"/>
        <n v="5214"/>
        <n v="8249"/>
        <n v="3172"/>
        <n v="5489"/>
        <n v="2037"/>
        <n v="2401"/>
        <n v="1303"/>
        <n v="6798"/>
        <n v="9917"/>
        <n v="2969"/>
        <n v="8737"/>
        <n v="2104"/>
        <n v="1702"/>
        <n v="8933"/>
        <n v="3624"/>
        <n v="4892"/>
      </sharedItems>
    </cacheField>
    <cacheField name="SH_ID" numFmtId="0">
      <sharedItems containsSemiMixedTypes="0" containsString="0" containsNumber="1" containsInteger="1" minValue="1" maxValue="998"/>
    </cacheField>
    <cacheField name="AMOUNT" numFmtId="0">
      <sharedItems containsSemiMixedTypes="0" containsString="0" containsNumber="1" containsInteger="1" minValue="312" maxValue="99604"/>
    </cacheField>
    <cacheField name="Payment_Status" numFmtId="0">
      <sharedItems count="2">
        <s v="PAID"/>
        <s v="NOT PAID"/>
      </sharedItems>
    </cacheField>
    <cacheField name="Payment_Mode" numFmtId="0">
      <sharedItems count="2">
        <s v="CARD PAYMENT"/>
        <s v="COD"/>
      </sharedItems>
    </cacheField>
    <cacheField name="Payment_Date" numFmtId="14">
      <sharedItems containsNonDate="0" containsDate="1" containsString="0" containsBlank="1" minDate="1971-11-01T00:00:00" maxDate="2019-12-13T00:00:00"/>
    </cacheField>
    <cacheField name="Payment_Category" numFmtId="0">
      <sharedItems/>
    </cacheField>
    <cacheField name="Total_Customer_Payment" numFmtId="0">
      <sharedItems containsSemiMixedTypes="0" containsString="0" containsNumber="1" containsInteger="1" minValue="312" maxValue="9960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61.677118749998" createdVersion="8" refreshedVersion="8" minRefreshableVersion="3" recordCount="200" xr:uid="{C521B186-14B5-4FF7-991C-43D0EEBD59CB}">
  <cacheSource type="worksheet">
    <worksheetSource name="employee_manages_shipment"/>
  </cacheSource>
  <cacheFields count="5">
    <cacheField name="Employee_E_ID" numFmtId="0">
      <sharedItems containsSemiMixedTypes="0" containsString="0" containsNumber="1" containsInteger="1" minValue="2" maxValue="999" count="200">
        <n v="582"/>
        <n v="396"/>
        <n v="545"/>
        <n v="770"/>
        <n v="991"/>
        <n v="437"/>
        <n v="805"/>
        <n v="803"/>
        <n v="295"/>
        <n v="804"/>
        <n v="54"/>
        <n v="853"/>
        <n v="902"/>
        <n v="163"/>
        <n v="993"/>
        <n v="891"/>
        <n v="950"/>
        <n v="292"/>
        <n v="90"/>
        <n v="49"/>
        <n v="100"/>
        <n v="405"/>
        <n v="584"/>
        <n v="326"/>
        <n v="95"/>
        <n v="600"/>
        <n v="26"/>
        <n v="515"/>
        <n v="876"/>
        <n v="691"/>
        <n v="605"/>
        <n v="864"/>
        <n v="886"/>
        <n v="365"/>
        <n v="946"/>
        <n v="152"/>
        <n v="789"/>
        <n v="148"/>
        <n v="7"/>
        <n v="982"/>
        <n v="249"/>
        <n v="273"/>
        <n v="172"/>
        <n v="234"/>
        <n v="844"/>
        <n v="368"/>
        <n v="372"/>
        <n v="82"/>
        <n v="528"/>
        <n v="143"/>
        <n v="429"/>
        <n v="47"/>
        <n v="790"/>
        <n v="427"/>
        <n v="906"/>
        <n v="750"/>
        <n v="913"/>
        <n v="31"/>
        <n v="733"/>
        <n v="624"/>
        <n v="199"/>
        <n v="112"/>
        <n v="256"/>
        <n v="848"/>
        <n v="102"/>
        <n v="361"/>
        <n v="962"/>
        <n v="443"/>
        <n v="977"/>
        <n v="936"/>
        <n v="395"/>
        <n v="344"/>
        <n v="48"/>
        <n v="362"/>
        <n v="88"/>
        <n v="289"/>
        <n v="704"/>
        <n v="903"/>
        <n v="315"/>
        <n v="501"/>
        <n v="812"/>
        <n v="953"/>
        <n v="830"/>
        <n v="656"/>
        <n v="935"/>
        <n v="762"/>
        <n v="698"/>
        <n v="294"/>
        <n v="535"/>
        <n v="357"/>
        <n v="468"/>
        <n v="798"/>
        <n v="497"/>
        <n v="841"/>
        <n v="521"/>
        <n v="2"/>
        <n v="637"/>
        <n v="407"/>
        <n v="87"/>
        <n v="894"/>
        <n v="708"/>
        <n v="311"/>
        <n v="888"/>
        <n v="678"/>
        <n v="734"/>
        <n v="640"/>
        <n v="189"/>
        <n v="685"/>
        <n v="617"/>
        <n v="508"/>
        <n v="406"/>
        <n v="132"/>
        <n v="785"/>
        <n v="113"/>
        <n v="951"/>
        <n v="169"/>
        <n v="984"/>
        <n v="881"/>
        <n v="883"/>
        <n v="735"/>
        <n v="120"/>
        <n v="92"/>
        <n v="618"/>
        <n v="768"/>
        <n v="619"/>
        <n v="393"/>
        <n v="127"/>
        <n v="329"/>
        <n v="839"/>
        <n v="787"/>
        <n v="658"/>
        <n v="302"/>
        <n v="959"/>
        <n v="467"/>
        <n v="642"/>
        <n v="472"/>
        <n v="700"/>
        <n v="305"/>
        <n v="676"/>
        <n v="602"/>
        <n v="175"/>
        <n v="679"/>
        <n v="412"/>
        <n v="486"/>
        <n v="899"/>
        <n v="123"/>
        <n v="180"/>
        <n v="433"/>
        <n v="244"/>
        <n v="147"/>
        <n v="634"/>
        <n v="999"/>
        <n v="477"/>
        <n v="746"/>
        <n v="287"/>
        <n v="310"/>
        <n v="889"/>
        <n v="512"/>
        <n v="693"/>
        <n v="670"/>
        <n v="238"/>
        <n v="400"/>
        <n v="398"/>
        <n v="955"/>
        <n v="193"/>
        <n v="33"/>
        <n v="786"/>
        <n v="811"/>
        <n v="615"/>
        <n v="18"/>
        <n v="114"/>
        <n v="340"/>
        <n v="649"/>
        <n v="778"/>
        <n v="885"/>
        <n v="69"/>
        <n v="288"/>
        <n v="898"/>
        <n v="473"/>
        <n v="23"/>
        <n v="505"/>
        <n v="401"/>
        <n v="988"/>
        <n v="493"/>
        <n v="432"/>
        <n v="948"/>
        <n v="821"/>
        <n v="435"/>
        <n v="11"/>
        <n v="204"/>
        <n v="332"/>
        <n v="179"/>
        <n v="503"/>
        <n v="431"/>
        <n v="865"/>
        <n v="874"/>
        <n v="513"/>
        <n v="814"/>
        <n v="236"/>
        <n v="957"/>
      </sharedItems>
    </cacheField>
    <cacheField name="Shipment_Sh_ID" numFmtId="0">
      <sharedItems containsSemiMixedTypes="0" containsString="0" containsNumber="1" containsInteger="1" minValue="1" maxValue="998"/>
    </cacheField>
    <cacheField name="Status_Sh_ID" numFmtId="0">
      <sharedItems containsSemiMixedTypes="0" containsString="0" containsNumber="1" containsInteger="1" minValue="1" maxValue="998"/>
    </cacheField>
    <cacheField name="Shipment_charges" numFmtId="0">
      <sharedItems containsSemiMixedTypes="0" containsString="0" containsNumber="1" containsInteger="1" minValue="20" maxValue="1486"/>
    </cacheField>
    <cacheField name="Designation" numFmtId="0">
      <sharedItems count="27">
        <s v="Market analyst"/>
        <s v="Chief finance officer"/>
        <s v="Transport manager"/>
        <s v="Warehouse manager"/>
        <s v="Branch manager"/>
        <s v="Project director"/>
        <s v="HR manager"/>
        <s v="Material handling executive"/>
        <s v="Non-executive director"/>
        <s v="In House logistics executive"/>
        <s v="Warehouse in charge"/>
        <s v="Head of marketing"/>
        <s v="Technical support executive"/>
        <s v="IT support executive"/>
        <s v="Inventory manager"/>
        <s v="Manager"/>
        <s v="Sales manager"/>
        <s v="Block development manager"/>
        <s v="Assistant manager"/>
        <s v="Delivery Boy"/>
        <s v="Office manager"/>
        <s v="Engineering department manager"/>
        <s v="Chief executive officer"/>
        <s v="Fleet manager"/>
        <s v="Marketing manager"/>
        <s v="Executive director"/>
        <s v="Director"/>
      </sharedItems>
    </cacheField>
  </cacheFields>
  <extLst>
    <ext xmlns:x14="http://schemas.microsoft.com/office/spreadsheetml/2009/9/main" uri="{725AE2AE-9491-48be-B2B4-4EB974FC3084}">
      <x14:pivotCacheDefinition pivotCacheId="155059501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61.683569791669" createdVersion="8" refreshedVersion="8" minRefreshableVersion="3" recordCount="200" xr:uid="{B08D4C69-D134-4401-9E4D-0625301581EB}">
  <cacheSource type="worksheet">
    <worksheetSource name="Shipment_Details"/>
  </cacheSource>
  <cacheFields count="15">
    <cacheField name="SH_ID" numFmtId="0">
      <sharedItems containsSemiMixedTypes="0" containsString="0" containsNumber="1" containsInteger="1" minValue="1" maxValue="998"/>
    </cacheField>
    <cacheField name="C_ID" numFmtId="0">
      <sharedItems containsSemiMixedTypes="0" containsString="0" containsNumber="1" containsInteger="1" minValue="3" maxValue="9968"/>
    </cacheField>
    <cacheField name="SH_CONTENT" numFmtId="0">
      <sharedItems/>
    </cacheField>
    <cacheField name="SH_DOMAIN" numFmtId="0">
      <sharedItems count="2">
        <s v="Domestic"/>
        <s v="International"/>
      </sharedItems>
    </cacheField>
    <cacheField name="SER_TYPE" numFmtId="0">
      <sharedItems count="2">
        <s v="Regular"/>
        <s v="Express"/>
      </sharedItems>
    </cacheField>
    <cacheField name="SH_WEIGHT" numFmtId="0">
      <sharedItems containsSemiMixedTypes="0" containsString="0" containsNumber="1" containsInteger="1" minValue="23" maxValue="997"/>
    </cacheField>
    <cacheField name="SH_CHARGES" numFmtId="0">
      <sharedItems containsSemiMixedTypes="0" containsString="0" containsNumber="1" containsInteger="1" minValue="20" maxValue="1486"/>
    </cacheField>
    <cacheField name="SR_ADDR" numFmtId="0">
      <sharedItems/>
    </cacheField>
    <cacheField name="DS_ADDR" numFmtId="0">
      <sharedItems/>
    </cacheField>
    <cacheField name="Current_Status" numFmtId="0">
      <sharedItems/>
    </cacheField>
    <cacheField name="Sent_Date" numFmtId="14">
      <sharedItems containsSemiMixedTypes="0" containsNonDate="0" containsDate="1" containsString="0" minDate="1971-02-06T00:00:00" maxDate="2019-12-31T00:00:00"/>
    </cacheField>
    <cacheField name="Delivery_Date" numFmtId="14">
      <sharedItems containsSemiMixedTypes="0" containsNonDate="0" containsDate="1" containsString="0" minDate="1899-12-30T00:00:00" maxDate="2019-12-13T00:00:00"/>
    </cacheField>
    <cacheField name="Weight_Category" numFmtId="0">
      <sharedItems/>
    </cacheField>
    <cacheField name="Delivery_Time" numFmtId="0">
      <sharedItems containsMixedTypes="1" containsNumber="1" containsInteger="1" minValue="1" maxValue="290"/>
    </cacheField>
    <cacheField name="Efficiency" numFmtId="164">
      <sharedItems containsSemiMixedTypes="0" containsString="0" containsNumber="1" minValue="0.11342351716961499" maxValue="1.75"/>
    </cacheField>
  </cacheFields>
  <extLst>
    <ext xmlns:x14="http://schemas.microsoft.com/office/spreadsheetml/2009/9/main" uri="{725AE2AE-9491-48be-B2B4-4EB974FC3084}">
      <x14:pivotCacheDefinition pivotCacheId="15303345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313cd69e-66f3-11ea-9879-7077813058ce"/>
    <x v="0"/>
    <n v="690"/>
    <n v="49302"/>
    <x v="0"/>
    <x v="0"/>
    <d v="2014-12-18T00:00:00"/>
    <s v="High"/>
    <n v="49302"/>
  </r>
  <r>
    <s v="313dc140-66f3-11ea-a952-7077813058ce"/>
    <x v="1"/>
    <n v="933"/>
    <n v="78698"/>
    <x v="0"/>
    <x v="0"/>
    <d v="1997-07-10T00:00:00"/>
    <s v="High"/>
    <n v="78698"/>
  </r>
  <r>
    <s v="313eab1e-66f3-11ea-81af-7077813058ce"/>
    <x v="2"/>
    <n v="261"/>
    <n v="69417"/>
    <x v="1"/>
    <x v="0"/>
    <m/>
    <s v="High"/>
    <n v="69417"/>
  </r>
  <r>
    <s v="313f474a-66f3-11ea-a78b-7077813058ce"/>
    <x v="3"/>
    <n v="445"/>
    <n v="39655"/>
    <x v="1"/>
    <x v="1"/>
    <m/>
    <s v="High"/>
    <n v="39655"/>
  </r>
  <r>
    <s v="3140589a-66f3-11ea-a057-7077813058ce"/>
    <x v="4"/>
    <n v="722"/>
    <n v="87400"/>
    <x v="1"/>
    <x v="1"/>
    <m/>
    <s v="High"/>
    <n v="87400"/>
  </r>
  <r>
    <s v="31411bc8-66f3-11ea-a4b7-7077813058ce"/>
    <x v="5"/>
    <n v="129"/>
    <n v="56881"/>
    <x v="0"/>
    <x v="0"/>
    <d v="1971-11-01T00:00:00"/>
    <s v="High"/>
    <n v="56881"/>
  </r>
  <r>
    <s v="3141defa-66f3-11ea-b10e-7077813058ce"/>
    <x v="6"/>
    <n v="489"/>
    <n v="99239"/>
    <x v="1"/>
    <x v="1"/>
    <m/>
    <s v="High"/>
    <n v="99239"/>
  </r>
  <r>
    <s v="3142c940-66f3-11ea-9f69-7077813058ce"/>
    <x v="7"/>
    <n v="165"/>
    <n v="23921"/>
    <x v="1"/>
    <x v="1"/>
    <m/>
    <s v="High"/>
    <n v="23921"/>
  </r>
  <r>
    <s v="31444fa8-66f3-11ea-912a-7077813058ce"/>
    <x v="8"/>
    <n v="164"/>
    <n v="67599"/>
    <x v="1"/>
    <x v="0"/>
    <m/>
    <s v="High"/>
    <n v="67599"/>
  </r>
  <r>
    <s v="314539e6-66f3-11ea-bfa4-7077813058ce"/>
    <x v="9"/>
    <n v="364"/>
    <n v="3725"/>
    <x v="1"/>
    <x v="1"/>
    <m/>
    <s v="Medium"/>
    <n v="3725"/>
  </r>
  <r>
    <s v="3145fd0a-66f3-11ea-958b-7077813058ce"/>
    <x v="10"/>
    <n v="469"/>
    <n v="95516"/>
    <x v="0"/>
    <x v="1"/>
    <d v="1991-05-15T00:00:00"/>
    <s v="High"/>
    <n v="95516"/>
  </r>
  <r>
    <s v="31469934-66f3-11ea-8572-7077813058ce"/>
    <x v="11"/>
    <n v="158"/>
    <n v="62528"/>
    <x v="0"/>
    <x v="1"/>
    <d v="1976-06-30T00:00:00"/>
    <s v="High"/>
    <n v="62528"/>
  </r>
  <r>
    <s v="3147355e-66f3-11ea-aae4-7077813058ce"/>
    <x v="12"/>
    <n v="337"/>
    <n v="21021"/>
    <x v="1"/>
    <x v="0"/>
    <m/>
    <s v="High"/>
    <n v="21021"/>
  </r>
  <r>
    <s v="3147f89c-66f3-11ea-8dfd-7077813058ce"/>
    <x v="13"/>
    <n v="634"/>
    <n v="99492"/>
    <x v="1"/>
    <x v="0"/>
    <m/>
    <s v="High"/>
    <n v="99492"/>
  </r>
  <r>
    <s v="3148bbc8-66f3-11ea-8acf-7077813058ce"/>
    <x v="14"/>
    <n v="577"/>
    <n v="60282"/>
    <x v="0"/>
    <x v="0"/>
    <d v="1987-08-09T00:00:00"/>
    <s v="High"/>
    <n v="60282"/>
  </r>
  <r>
    <s v="31497efa-66f3-11ea-9497-7077813058ce"/>
    <x v="15"/>
    <n v="907"/>
    <n v="20357"/>
    <x v="1"/>
    <x v="0"/>
    <m/>
    <s v="High"/>
    <n v="20357"/>
  </r>
  <r>
    <s v="314a1b22-66f3-11ea-9e82-7077813058ce"/>
    <x v="16"/>
    <n v="870"/>
    <n v="24053"/>
    <x v="1"/>
    <x v="0"/>
    <m/>
    <s v="High"/>
    <n v="24053"/>
  </r>
  <r>
    <s v="314ade58-66f3-11ea-8979-7077813058ce"/>
    <x v="17"/>
    <n v="982"/>
    <n v="50958"/>
    <x v="1"/>
    <x v="0"/>
    <m/>
    <s v="High"/>
    <n v="50958"/>
  </r>
  <r>
    <s v="314b7a8a-66f3-11ea-97d4-7077813058ce"/>
    <x v="18"/>
    <n v="351"/>
    <n v="68227"/>
    <x v="0"/>
    <x v="0"/>
    <d v="1977-07-06T00:00:00"/>
    <s v="High"/>
    <n v="68227"/>
  </r>
  <r>
    <s v="314c8bcc-66f3-11ea-b526-7077813058ce"/>
    <x v="19"/>
    <n v="328"/>
    <n v="77861"/>
    <x v="0"/>
    <x v="0"/>
    <d v="1997-09-08T00:00:00"/>
    <s v="High"/>
    <n v="77861"/>
  </r>
  <r>
    <s v="314d761e-66f3-11ea-b155-7077813058ce"/>
    <x v="20"/>
    <n v="242"/>
    <n v="48315"/>
    <x v="1"/>
    <x v="0"/>
    <m/>
    <s v="High"/>
    <n v="48315"/>
  </r>
  <r>
    <s v="314eae64-66f3-11ea-b08f-7077813058ce"/>
    <x v="21"/>
    <n v="421"/>
    <n v="83002"/>
    <x v="0"/>
    <x v="0"/>
    <d v="1999-03-05T00:00:00"/>
    <s v="High"/>
    <n v="83002"/>
  </r>
  <r>
    <s v="314f4a7a-66f3-11ea-8b83-7077813058ce"/>
    <x v="22"/>
    <n v="6"/>
    <n v="47650"/>
    <x v="0"/>
    <x v="1"/>
    <d v="1977-11-08T00:00:00"/>
    <s v="High"/>
    <n v="47650"/>
  </r>
  <r>
    <s v="315034c6-66f3-11ea-a2bf-7077813058ce"/>
    <x v="23"/>
    <n v="384"/>
    <n v="19386"/>
    <x v="1"/>
    <x v="1"/>
    <m/>
    <s v="High"/>
    <n v="19386"/>
  </r>
  <r>
    <s v="31511efa-66f3-11ea-bc4c-7077813058ce"/>
    <x v="24"/>
    <n v="286"/>
    <n v="39432"/>
    <x v="0"/>
    <x v="1"/>
    <d v="2005-09-15T00:00:00"/>
    <s v="High"/>
    <n v="39432"/>
  </r>
  <r>
    <s v="3151e23a-66f3-11ea-9b38-7077813058ce"/>
    <x v="25"/>
    <n v="892"/>
    <n v="1421"/>
    <x v="0"/>
    <x v="1"/>
    <d v="2019-12-12T00:00:00"/>
    <s v="Low"/>
    <n v="1421"/>
  </r>
  <r>
    <s v="3152a56c-66f3-11ea-9340-7077813058ce"/>
    <x v="26"/>
    <n v="558"/>
    <n v="16113"/>
    <x v="0"/>
    <x v="1"/>
    <d v="2013-11-15T00:00:00"/>
    <s v="High"/>
    <n v="16113"/>
  </r>
  <r>
    <s v="31534188-66f3-11ea-8acd-7077813058ce"/>
    <x v="27"/>
    <n v="481"/>
    <n v="52318"/>
    <x v="1"/>
    <x v="0"/>
    <m/>
    <s v="High"/>
    <n v="52318"/>
  </r>
  <r>
    <s v="3153ddb4-66f3-11ea-a4d6-7077813058ce"/>
    <x v="28"/>
    <n v="155"/>
    <n v="7389"/>
    <x v="1"/>
    <x v="0"/>
    <m/>
    <s v="High"/>
    <n v="7389"/>
  </r>
  <r>
    <s v="3154c800-66f3-11ea-8721-7077813058ce"/>
    <x v="29"/>
    <n v="771"/>
    <n v="86040"/>
    <x v="0"/>
    <x v="1"/>
    <d v="2013-11-15T00:00:00"/>
    <s v="High"/>
    <n v="86040"/>
  </r>
  <r>
    <s v="3155d94c-66f3-11ea-b116-7077813058ce"/>
    <x v="30"/>
    <n v="945"/>
    <n v="56148"/>
    <x v="0"/>
    <x v="1"/>
    <d v="2001-08-10T00:00:00"/>
    <s v="High"/>
    <n v="56148"/>
  </r>
  <r>
    <s v="31575fac-66f3-11ea-8d99-7077813058ce"/>
    <x v="31"/>
    <n v="719"/>
    <n v="894"/>
    <x v="0"/>
    <x v="0"/>
    <d v="2006-07-17T00:00:00"/>
    <s v="Low"/>
    <n v="894"/>
  </r>
  <r>
    <s v="315897f8-66f3-11ea-ad46-7077813058ce"/>
    <x v="32"/>
    <n v="493"/>
    <n v="35634"/>
    <x v="1"/>
    <x v="1"/>
    <m/>
    <s v="High"/>
    <n v="35634"/>
  </r>
  <r>
    <s v="3159d04c-66f3-11ea-95df-7077813058ce"/>
    <x v="33"/>
    <n v="998"/>
    <n v="28701"/>
    <x v="0"/>
    <x v="0"/>
    <d v="2013-11-15T00:00:00"/>
    <s v="High"/>
    <n v="28701"/>
  </r>
  <r>
    <s v="315aba8a-66f3-11ea-9db6-7077813058ce"/>
    <x v="34"/>
    <n v="968"/>
    <n v="90380"/>
    <x v="0"/>
    <x v="0"/>
    <d v="1993-08-02T00:00:00"/>
    <s v="High"/>
    <n v="90380"/>
  </r>
  <r>
    <s v="315b7db4-66f3-11ea-ae41-7077813058ce"/>
    <x v="35"/>
    <n v="738"/>
    <n v="21813"/>
    <x v="1"/>
    <x v="1"/>
    <m/>
    <s v="High"/>
    <n v="21813"/>
  </r>
  <r>
    <s v="315c67f4-66f3-11ea-bcd7-7077813058ce"/>
    <x v="36"/>
    <n v="912"/>
    <n v="36312"/>
    <x v="1"/>
    <x v="0"/>
    <m/>
    <s v="High"/>
    <n v="36312"/>
  </r>
  <r>
    <s v="315d041c-66f3-11ea-8af9-7077813058ce"/>
    <x v="37"/>
    <n v="782"/>
    <n v="24856"/>
    <x v="0"/>
    <x v="0"/>
    <d v="2002-10-20T00:00:00"/>
    <s v="High"/>
    <n v="24856"/>
  </r>
  <r>
    <s v="315da042-66f3-11ea-ac04-7077813058ce"/>
    <x v="38"/>
    <n v="140"/>
    <n v="39234"/>
    <x v="0"/>
    <x v="0"/>
    <d v="2006-07-17T00:00:00"/>
    <s v="High"/>
    <n v="39234"/>
  </r>
  <r>
    <s v="315e3c68-66f3-11ea-8d08-7077813058ce"/>
    <x v="39"/>
    <n v="702"/>
    <n v="74222"/>
    <x v="0"/>
    <x v="1"/>
    <d v="2004-11-20T00:00:00"/>
    <s v="High"/>
    <n v="74222"/>
  </r>
  <r>
    <s v="315f26ac-66f3-11ea-a883-7077813058ce"/>
    <x v="40"/>
    <n v="284"/>
    <n v="47260"/>
    <x v="0"/>
    <x v="0"/>
    <d v="1982-03-08T00:00:00"/>
    <s v="High"/>
    <n v="47260"/>
  </r>
  <r>
    <s v="315fe9e2-66f3-11ea-b80f-7077813058ce"/>
    <x v="41"/>
    <n v="199"/>
    <n v="45432"/>
    <x v="1"/>
    <x v="1"/>
    <m/>
    <s v="High"/>
    <n v="45432"/>
  </r>
  <r>
    <s v="3160ad0c-66f3-11ea-961a-7077813058ce"/>
    <x v="42"/>
    <n v="228"/>
    <n v="30192"/>
    <x v="0"/>
    <x v="1"/>
    <d v="1994-04-09T00:00:00"/>
    <s v="High"/>
    <n v="30192"/>
  </r>
  <r>
    <s v="31619754-66f3-11ea-911d-7077813058ce"/>
    <x v="43"/>
    <n v="908"/>
    <n v="53868"/>
    <x v="1"/>
    <x v="0"/>
    <m/>
    <s v="High"/>
    <n v="53868"/>
  </r>
  <r>
    <s v="3162337a-66f3-11ea-bf3c-7077813058ce"/>
    <x v="44"/>
    <n v="594"/>
    <n v="9691"/>
    <x v="1"/>
    <x v="0"/>
    <m/>
    <s v="High"/>
    <n v="9691"/>
  </r>
  <r>
    <s v="3162cf9c-66f3-11ea-917a-7077813058ce"/>
    <x v="45"/>
    <n v="542"/>
    <n v="39001"/>
    <x v="1"/>
    <x v="1"/>
    <m/>
    <s v="High"/>
    <n v="39001"/>
  </r>
  <r>
    <s v="31636bd2-66f3-11ea-aa21-7077813058ce"/>
    <x v="46"/>
    <n v="586"/>
    <n v="70814"/>
    <x v="1"/>
    <x v="0"/>
    <m/>
    <s v="High"/>
    <n v="70814"/>
  </r>
  <r>
    <s v="31642f12-66f3-11ea-b553-7077813058ce"/>
    <x v="47"/>
    <n v="636"/>
    <n v="13740"/>
    <x v="0"/>
    <x v="1"/>
    <d v="2008-08-09T00:00:00"/>
    <s v="High"/>
    <n v="13740"/>
  </r>
  <r>
    <s v="3164f24c-66f3-11ea-bf87-7077813058ce"/>
    <x v="48"/>
    <n v="581"/>
    <n v="33435"/>
    <x v="1"/>
    <x v="0"/>
    <m/>
    <s v="High"/>
    <n v="33435"/>
  </r>
  <r>
    <s v="3165b562-66f3-11ea-83de-7077813058ce"/>
    <x v="49"/>
    <n v="336"/>
    <n v="73589"/>
    <x v="1"/>
    <x v="0"/>
    <m/>
    <s v="High"/>
    <n v="73589"/>
  </r>
  <r>
    <s v="316678a4-66f3-11ea-b7d3-7077813058ce"/>
    <x v="50"/>
    <n v="504"/>
    <n v="18598"/>
    <x v="0"/>
    <x v="1"/>
    <d v="1982-10-15T00:00:00"/>
    <s v="High"/>
    <n v="18598"/>
  </r>
  <r>
    <s v="31673bc8-66f3-11ea-803a-7077813058ce"/>
    <x v="51"/>
    <n v="346"/>
    <n v="23003"/>
    <x v="0"/>
    <x v="0"/>
    <d v="2007-07-12T00:00:00"/>
    <s v="High"/>
    <n v="23003"/>
  </r>
  <r>
    <s v="3167d7ee-66f3-11ea-a273-7077813058ce"/>
    <x v="52"/>
    <n v="135"/>
    <n v="80901"/>
    <x v="1"/>
    <x v="0"/>
    <m/>
    <s v="High"/>
    <n v="80901"/>
  </r>
  <r>
    <s v="3168c236-66f3-11ea-ad73-7077813058ce"/>
    <x v="53"/>
    <n v="822"/>
    <n v="69113"/>
    <x v="0"/>
    <x v="1"/>
    <d v="1991-07-15T00:00:00"/>
    <s v="High"/>
    <n v="69113"/>
  </r>
  <r>
    <s v="3169fa82-66f3-11ea-a4aa-7077813058ce"/>
    <x v="54"/>
    <n v="95"/>
    <n v="26060"/>
    <x v="1"/>
    <x v="1"/>
    <m/>
    <s v="High"/>
    <n v="26060"/>
  </r>
  <r>
    <s v="316abe90-66f3-11ea-b19a-7077813058ce"/>
    <x v="55"/>
    <n v="597"/>
    <n v="25677"/>
    <x v="1"/>
    <x v="0"/>
    <m/>
    <s v="High"/>
    <n v="25677"/>
  </r>
  <r>
    <s v="316ba7f6-66f3-11ea-913f-7077813058ce"/>
    <x v="56"/>
    <n v="340"/>
    <n v="62912"/>
    <x v="1"/>
    <x v="1"/>
    <m/>
    <s v="High"/>
    <n v="62912"/>
  </r>
  <r>
    <s v="316c441e-66f3-11ea-89de-7077813058ce"/>
    <x v="57"/>
    <n v="905"/>
    <n v="77649"/>
    <x v="0"/>
    <x v="0"/>
    <d v="1983-09-30T00:00:00"/>
    <s v="High"/>
    <n v="77649"/>
  </r>
  <r>
    <s v="316ce042-66f3-11ea-b223-7077813058ce"/>
    <x v="58"/>
    <n v="250"/>
    <n v="73561"/>
    <x v="0"/>
    <x v="1"/>
    <d v="2006-10-22T00:00:00"/>
    <s v="High"/>
    <n v="73561"/>
  </r>
  <r>
    <s v="316d7c6e-66f3-11ea-aad7-7077813058ce"/>
    <x v="59"/>
    <n v="400"/>
    <n v="50357"/>
    <x v="1"/>
    <x v="1"/>
    <m/>
    <s v="High"/>
    <n v="50357"/>
  </r>
  <r>
    <s v="316e8db8-66f3-11ea-88c1-7077813058ce"/>
    <x v="60"/>
    <n v="877"/>
    <n v="61325"/>
    <x v="0"/>
    <x v="0"/>
    <d v="2000-03-22T00:00:00"/>
    <s v="High"/>
    <n v="61325"/>
  </r>
  <r>
    <s v="316f77f6-66f3-11ea-8aa2-7077813058ce"/>
    <x v="61"/>
    <n v="97"/>
    <n v="76658"/>
    <x v="1"/>
    <x v="1"/>
    <m/>
    <s v="High"/>
    <n v="76658"/>
  </r>
  <r>
    <s v="3170141c-66f3-11ea-97a3-7077813058ce"/>
    <x v="62"/>
    <n v="12"/>
    <n v="35525"/>
    <x v="1"/>
    <x v="1"/>
    <m/>
    <s v="High"/>
    <n v="35525"/>
  </r>
  <r>
    <s v="3170d834-66f3-11ea-b48e-7077813058ce"/>
    <x v="63"/>
    <n v="353"/>
    <n v="12462"/>
    <x v="0"/>
    <x v="1"/>
    <d v="2012-10-04T00:00:00"/>
    <s v="High"/>
    <n v="12462"/>
  </r>
  <r>
    <s v="31717452-66f3-11ea-9fcf-7077813058ce"/>
    <x v="64"/>
    <n v="856"/>
    <n v="27105"/>
    <x v="0"/>
    <x v="1"/>
    <d v="1977-11-08T00:00:00"/>
    <s v="High"/>
    <n v="27105"/>
  </r>
  <r>
    <s v="3172107a-66f3-11ea-ad07-7077813058ce"/>
    <x v="65"/>
    <n v="1"/>
    <n v="99604"/>
    <x v="0"/>
    <x v="1"/>
    <d v="2010-11-30T00:00:00"/>
    <s v="High"/>
    <n v="99604"/>
  </r>
  <r>
    <s v="3172d2fa-66f3-11ea-bad5-7077813058ce"/>
    <x v="66"/>
    <n v="390"/>
    <n v="90449"/>
    <x v="0"/>
    <x v="0"/>
    <d v="2009-03-09T00:00:00"/>
    <s v="High"/>
    <n v="90449"/>
  </r>
  <r>
    <s v="3173e41e-66f3-11ea-b5f4-7077813058ce"/>
    <x v="67"/>
    <n v="446"/>
    <n v="9520"/>
    <x v="1"/>
    <x v="1"/>
    <m/>
    <s v="High"/>
    <n v="9520"/>
  </r>
  <r>
    <s v="3174f566-66f3-11ea-98c3-7077813058ce"/>
    <x v="68"/>
    <n v="32"/>
    <n v="42210"/>
    <x v="1"/>
    <x v="0"/>
    <m/>
    <s v="High"/>
    <n v="42210"/>
  </r>
  <r>
    <s v="3175dfa2-66f3-11ea-b9d8-7077813058ce"/>
    <x v="69"/>
    <n v="420"/>
    <n v="21639"/>
    <x v="1"/>
    <x v="1"/>
    <m/>
    <s v="High"/>
    <n v="21639"/>
  </r>
  <r>
    <s v="31767bca-66f3-11ea-848b-7077813058ce"/>
    <x v="70"/>
    <n v="708"/>
    <n v="58736"/>
    <x v="0"/>
    <x v="1"/>
    <d v="2019-07-31T00:00:00"/>
    <s v="High"/>
    <n v="58736"/>
  </r>
  <r>
    <s v="317717f0-66f3-11ea-b57c-7077813058ce"/>
    <x v="71"/>
    <n v="227"/>
    <n v="3951"/>
    <x v="0"/>
    <x v="0"/>
    <d v="2002-01-05T00:00:00"/>
    <s v="Medium"/>
    <n v="3951"/>
  </r>
  <r>
    <s v="3177db2e-66f3-11ea-99fe-7077813058ce"/>
    <x v="72"/>
    <n v="595"/>
    <n v="69479"/>
    <x v="1"/>
    <x v="0"/>
    <m/>
    <s v="High"/>
    <n v="69479"/>
  </r>
  <r>
    <s v="3178c56c-66f3-11ea-9547-7077813058ce"/>
    <x v="73"/>
    <n v="211"/>
    <n v="10366"/>
    <x v="0"/>
    <x v="1"/>
    <d v="2006-12-23T00:00:00"/>
    <s v="High"/>
    <n v="10366"/>
  </r>
  <r>
    <s v="31796190-66f3-11ea-b0b6-7077813058ce"/>
    <x v="74"/>
    <n v="650"/>
    <n v="10001"/>
    <x v="1"/>
    <x v="0"/>
    <m/>
    <s v="High"/>
    <n v="10001"/>
  </r>
  <r>
    <s v="3179fdb8-66f3-11ea-b117-7077813058ce"/>
    <x v="75"/>
    <n v="45"/>
    <n v="15307"/>
    <x v="0"/>
    <x v="0"/>
    <d v="1996-05-01T00:00:00"/>
    <s v="High"/>
    <n v="15307"/>
  </r>
  <r>
    <s v="317ac112-66f3-11ea-96bf-7077813058ce"/>
    <x v="76"/>
    <n v="201"/>
    <n v="68923"/>
    <x v="1"/>
    <x v="0"/>
    <m/>
    <s v="High"/>
    <n v="68923"/>
  </r>
  <r>
    <s v="317b8422-66f3-11ea-8b90-7077813058ce"/>
    <x v="77"/>
    <n v="564"/>
    <n v="59651"/>
    <x v="0"/>
    <x v="1"/>
    <d v="2004-09-25T00:00:00"/>
    <s v="High"/>
    <n v="59651"/>
  </r>
  <r>
    <s v="317c204a-66f3-11ea-b627-7077813058ce"/>
    <x v="78"/>
    <n v="138"/>
    <n v="78953"/>
    <x v="1"/>
    <x v="0"/>
    <m/>
    <s v="High"/>
    <n v="78953"/>
  </r>
  <r>
    <s v="317ce378-66f3-11ea-b64a-7077813058ce"/>
    <x v="79"/>
    <n v="57"/>
    <n v="89420"/>
    <x v="0"/>
    <x v="1"/>
    <d v="2004-03-02T00:00:00"/>
    <s v="High"/>
    <n v="89420"/>
  </r>
  <r>
    <s v="317dcdc0-66f3-11ea-a3ce-7077813058ce"/>
    <x v="80"/>
    <n v="128"/>
    <n v="50374"/>
    <x v="1"/>
    <x v="0"/>
    <m/>
    <s v="High"/>
    <n v="50374"/>
  </r>
  <r>
    <s v="317e69e2-66f3-11ea-8d1d-7077813058ce"/>
    <x v="81"/>
    <n v="33"/>
    <n v="83102"/>
    <x v="1"/>
    <x v="1"/>
    <m/>
    <s v="High"/>
    <n v="83102"/>
  </r>
  <r>
    <s v="317f5426-66f3-11ea-9e99-7077813058ce"/>
    <x v="82"/>
    <n v="936"/>
    <n v="62151"/>
    <x v="1"/>
    <x v="1"/>
    <m/>
    <s v="High"/>
    <n v="62151"/>
  </r>
  <r>
    <s v="31803e5c-66f3-11ea-9cfa-7077813058ce"/>
    <x v="83"/>
    <n v="762"/>
    <n v="84665"/>
    <x v="1"/>
    <x v="1"/>
    <m/>
    <s v="High"/>
    <n v="84665"/>
  </r>
  <r>
    <s v="3180da86-66f3-11ea-a8db-7077813058ce"/>
    <x v="84"/>
    <n v="838"/>
    <n v="1760"/>
    <x v="0"/>
    <x v="1"/>
    <d v="1995-08-23T00:00:00"/>
    <s v="Low"/>
    <n v="1760"/>
  </r>
  <r>
    <s v="318176ac-66f3-11ea-8841-7077813058ce"/>
    <x v="85"/>
    <n v="215"/>
    <n v="30239"/>
    <x v="0"/>
    <x v="1"/>
    <d v="1985-01-31T00:00:00"/>
    <s v="High"/>
    <n v="30239"/>
  </r>
  <r>
    <s v="318260fe-66f3-11ea-a0f0-7077813058ce"/>
    <x v="86"/>
    <n v="818"/>
    <n v="20194"/>
    <x v="0"/>
    <x v="1"/>
    <d v="2006-10-20T00:00:00"/>
    <s v="High"/>
    <n v="20194"/>
  </r>
  <r>
    <s v="31832428-66f3-11ea-9902-7077813058ce"/>
    <x v="87"/>
    <n v="780"/>
    <n v="58470"/>
    <x v="0"/>
    <x v="1"/>
    <d v="1989-10-17T00:00:00"/>
    <s v="High"/>
    <n v="58470"/>
  </r>
  <r>
    <s v="31851fae-66f3-11ea-9f4d-7077813058ce"/>
    <x v="88"/>
    <n v="40"/>
    <n v="91926"/>
    <x v="1"/>
    <x v="1"/>
    <m/>
    <s v="High"/>
    <n v="91926"/>
  </r>
  <r>
    <s v="31863106-66f3-11ea-8b2f-7077813058ce"/>
    <x v="89"/>
    <n v="366"/>
    <n v="34797"/>
    <x v="0"/>
    <x v="1"/>
    <d v="1980-03-16T00:00:00"/>
    <s v="High"/>
    <n v="34797"/>
  </r>
  <r>
    <s v="31876958-66f3-11ea-afcb-7077813058ce"/>
    <x v="90"/>
    <n v="678"/>
    <n v="19346"/>
    <x v="1"/>
    <x v="1"/>
    <m/>
    <s v="High"/>
    <n v="19346"/>
  </r>
  <r>
    <s v="31885382-66f3-11ea-b84f-7077813058ce"/>
    <x v="91"/>
    <n v="703"/>
    <n v="35185"/>
    <x v="1"/>
    <x v="1"/>
    <m/>
    <s v="High"/>
    <n v="35185"/>
  </r>
  <r>
    <s v="318916c0-66f3-11ea-8a7c-7077813058ce"/>
    <x v="92"/>
    <n v="180"/>
    <n v="7068"/>
    <x v="1"/>
    <x v="0"/>
    <m/>
    <s v="High"/>
    <n v="7068"/>
  </r>
  <r>
    <s v="318a2800-66f3-11ea-b639-7077813058ce"/>
    <x v="93"/>
    <n v="214"/>
    <n v="96496"/>
    <x v="0"/>
    <x v="0"/>
    <d v="1987-08-09T00:00:00"/>
    <s v="High"/>
    <n v="96496"/>
  </r>
  <r>
    <s v="318b396c-66f3-11ea-9883-7077813058ce"/>
    <x v="94"/>
    <n v="408"/>
    <n v="2988"/>
    <x v="0"/>
    <x v="0"/>
    <d v="1990-09-11T00:00:00"/>
    <s v="Low"/>
    <n v="2988"/>
  </r>
  <r>
    <s v="318cbfc6-66f3-11ea-b57f-7077813058ce"/>
    <x v="95"/>
    <n v="902"/>
    <n v="83253"/>
    <x v="0"/>
    <x v="1"/>
    <d v="1989-09-17T00:00:00"/>
    <s v="High"/>
    <n v="83253"/>
  </r>
  <r>
    <s v="318d82e8-66f3-11ea-9cca-7077813058ce"/>
    <x v="96"/>
    <n v="763"/>
    <n v="87828"/>
    <x v="0"/>
    <x v="1"/>
    <d v="2014-09-09T00:00:00"/>
    <s v="High"/>
    <n v="87828"/>
  </r>
  <r>
    <s v="318e4628-66f3-11ea-a70e-7077813058ce"/>
    <x v="97"/>
    <n v="168"/>
    <n v="17035"/>
    <x v="0"/>
    <x v="1"/>
    <d v="1997-06-12T00:00:00"/>
    <s v="High"/>
    <n v="17035"/>
  </r>
  <r>
    <s v="318f305e-66f3-11ea-b203-7077813058ce"/>
    <x v="98"/>
    <n v="723"/>
    <n v="426"/>
    <x v="1"/>
    <x v="1"/>
    <m/>
    <s v="Low"/>
    <n v="426"/>
  </r>
  <r>
    <s v="31901a98-66f3-11ea-830a-7077813058ce"/>
    <x v="99"/>
    <n v="438"/>
    <n v="20238"/>
    <x v="0"/>
    <x v="1"/>
    <d v="1977-03-30T00:00:00"/>
    <s v="High"/>
    <n v="20238"/>
  </r>
  <r>
    <s v="3190ddc6-66f3-11ea-8fea-7077813058ce"/>
    <x v="100"/>
    <n v="162"/>
    <n v="68331"/>
    <x v="0"/>
    <x v="0"/>
    <d v="1982-10-29T00:00:00"/>
    <s v="High"/>
    <n v="68331"/>
  </r>
  <r>
    <s v="3191ef06-66f3-11ea-bb69-7077813058ce"/>
    <x v="101"/>
    <n v="246"/>
    <n v="86132"/>
    <x v="0"/>
    <x v="0"/>
    <d v="2019-03-01T00:00:00"/>
    <s v="High"/>
    <n v="86132"/>
  </r>
  <r>
    <s v="31930050-66f3-11ea-8535-7077813058ce"/>
    <x v="102"/>
    <n v="105"/>
    <n v="766"/>
    <x v="1"/>
    <x v="0"/>
    <m/>
    <s v="Low"/>
    <n v="766"/>
  </r>
  <r>
    <s v="319438b6-66f3-11ea-9722-7077813058ce"/>
    <x v="103"/>
    <n v="308"/>
    <n v="13169"/>
    <x v="1"/>
    <x v="1"/>
    <m/>
    <s v="High"/>
    <n v="13169"/>
  </r>
  <r>
    <s v="319549e8-66f3-11ea-85a4-7077813058ce"/>
    <x v="104"/>
    <n v="172"/>
    <n v="48657"/>
    <x v="0"/>
    <x v="1"/>
    <d v="2004-10-26T00:00:00"/>
    <s v="High"/>
    <n v="48657"/>
  </r>
  <r>
    <s v="31963430-66f3-11ea-bdc7-7077813058ce"/>
    <x v="105"/>
    <n v="775"/>
    <n v="88037"/>
    <x v="1"/>
    <x v="0"/>
    <m/>
    <s v="High"/>
    <n v="88037"/>
  </r>
  <r>
    <s v="31971e6e-66f3-11ea-86f5-7077813058ce"/>
    <x v="106"/>
    <n v="333"/>
    <n v="21972"/>
    <x v="0"/>
    <x v="0"/>
    <d v="2013-08-11T00:00:00"/>
    <s v="High"/>
    <n v="21972"/>
  </r>
  <r>
    <s v="31987dc0-66f3-11ea-a59b-7077813058ce"/>
    <x v="107"/>
    <n v="548"/>
    <n v="87886"/>
    <x v="1"/>
    <x v="1"/>
    <m/>
    <s v="High"/>
    <n v="87886"/>
  </r>
  <r>
    <s v="3199b61c-66f3-11ea-ab02-7077813058ce"/>
    <x v="108"/>
    <n v="665"/>
    <n v="3244"/>
    <x v="0"/>
    <x v="0"/>
    <d v="2010-04-27T00:00:00"/>
    <s v="Medium"/>
    <n v="3244"/>
  </r>
  <r>
    <s v="319ac762-66f3-11ea-b75f-7077813058ce"/>
    <x v="109"/>
    <n v="305"/>
    <n v="32031"/>
    <x v="0"/>
    <x v="1"/>
    <d v="1992-11-01T00:00:00"/>
    <s v="High"/>
    <n v="32031"/>
  </r>
  <r>
    <s v="319bfff4-66f3-11ea-8fba-7077813058ce"/>
    <x v="110"/>
    <n v="938"/>
    <n v="51284"/>
    <x v="1"/>
    <x v="0"/>
    <m/>
    <s v="High"/>
    <n v="51284"/>
  </r>
  <r>
    <s v="319d3826-66f3-11ea-8b8d-7077813058ce"/>
    <x v="111"/>
    <n v="714"/>
    <n v="23055"/>
    <x v="0"/>
    <x v="0"/>
    <d v="2011-06-08T00:00:00"/>
    <s v="High"/>
    <n v="23055"/>
  </r>
  <r>
    <s v="319e9766-66f3-11ea-9392-7077813058ce"/>
    <x v="112"/>
    <n v="251"/>
    <n v="94926"/>
    <x v="0"/>
    <x v="0"/>
    <d v="2003-12-02T00:00:00"/>
    <s v="High"/>
    <n v="94926"/>
  </r>
  <r>
    <s v="319fa8a8-66f3-11ea-b17c-7077813058ce"/>
    <x v="113"/>
    <n v="330"/>
    <n v="312"/>
    <x v="1"/>
    <x v="1"/>
    <m/>
    <s v="Low"/>
    <n v="312"/>
  </r>
  <r>
    <s v="31a0e11a-66f3-11ea-999b-7077813058ce"/>
    <x v="114"/>
    <n v="69"/>
    <n v="45852"/>
    <x v="0"/>
    <x v="1"/>
    <d v="2018-08-30T00:00:00"/>
    <s v="High"/>
    <n v="45852"/>
  </r>
  <r>
    <s v="31a1cb62-66f3-11ea-81bc-7077813058ce"/>
    <x v="115"/>
    <n v="969"/>
    <n v="77063"/>
    <x v="0"/>
    <x v="0"/>
    <d v="2013-03-09T00:00:00"/>
    <s v="High"/>
    <n v="77063"/>
  </r>
  <r>
    <s v="31a2b586-66f3-11ea-a9ea-7077813058ce"/>
    <x v="116"/>
    <n v="974"/>
    <n v="44299"/>
    <x v="0"/>
    <x v="1"/>
    <d v="2013-06-21T00:00:00"/>
    <s v="High"/>
    <n v="44299"/>
  </r>
  <r>
    <s v="31a3c6d8-66f3-11ea-983d-7077813058ce"/>
    <x v="117"/>
    <n v="526"/>
    <n v="67123"/>
    <x v="0"/>
    <x v="1"/>
    <d v="1991-07-03T00:00:00"/>
    <s v="High"/>
    <n v="67123"/>
  </r>
  <r>
    <s v="31a489fa-66f3-11ea-9155-7077813058ce"/>
    <x v="118"/>
    <n v="510"/>
    <n v="51104"/>
    <x v="1"/>
    <x v="1"/>
    <m/>
    <s v="High"/>
    <n v="51104"/>
  </r>
  <r>
    <s v="31a5c242-66f3-11ea-960b-7077813058ce"/>
    <x v="119"/>
    <n v="444"/>
    <n v="35369"/>
    <x v="1"/>
    <x v="0"/>
    <m/>
    <s v="High"/>
    <n v="35369"/>
  </r>
  <r>
    <s v="31a6ac9c-66f3-11ea-926a-7077813058ce"/>
    <x v="120"/>
    <n v="503"/>
    <n v="559"/>
    <x v="0"/>
    <x v="0"/>
    <d v="1974-05-25T00:00:00"/>
    <s v="Low"/>
    <n v="559"/>
  </r>
  <r>
    <s v="31a796d0-66f3-11ea-ae4e-7077813058ce"/>
    <x v="121"/>
    <n v="109"/>
    <n v="13394"/>
    <x v="1"/>
    <x v="0"/>
    <m/>
    <s v="High"/>
    <n v="13394"/>
  </r>
  <r>
    <s v="31a859f0-66f3-11ea-8394-7077813058ce"/>
    <x v="122"/>
    <n v="823"/>
    <n v="51472"/>
    <x v="0"/>
    <x v="0"/>
    <d v="1975-05-20T00:00:00"/>
    <s v="High"/>
    <n v="51472"/>
  </r>
  <r>
    <s v="31a9925e-66f3-11ea-b9ab-7077813058ce"/>
    <x v="123"/>
    <n v="147"/>
    <n v="99367"/>
    <x v="0"/>
    <x v="1"/>
    <d v="2005-09-15T00:00:00"/>
    <s v="High"/>
    <n v="99367"/>
  </r>
  <r>
    <s v="31aa7c8c-66f3-11ea-bbd5-7077813058ce"/>
    <x v="124"/>
    <n v="625"/>
    <n v="98982"/>
    <x v="1"/>
    <x v="0"/>
    <m/>
    <s v="High"/>
    <n v="98982"/>
  </r>
  <r>
    <s v="31ab66b6-66f3-11ea-b954-7077813058ce"/>
    <x v="125"/>
    <n v="695"/>
    <n v="47111"/>
    <x v="1"/>
    <x v="1"/>
    <m/>
    <s v="High"/>
    <n v="47111"/>
  </r>
  <r>
    <s v="31ac02dc-66f3-11ea-8f7e-7077813058ce"/>
    <x v="126"/>
    <n v="983"/>
    <n v="87420"/>
    <x v="1"/>
    <x v="1"/>
    <m/>
    <s v="High"/>
    <n v="87420"/>
  </r>
  <r>
    <s v="31aced36-66f3-11ea-b593-7077813058ce"/>
    <x v="127"/>
    <n v="82"/>
    <n v="59376"/>
    <x v="1"/>
    <x v="1"/>
    <m/>
    <s v="High"/>
    <n v="59376"/>
  </r>
  <r>
    <s v="31add76e-66f3-11ea-bc98-7077813058ce"/>
    <x v="128"/>
    <n v="397"/>
    <n v="41003"/>
    <x v="1"/>
    <x v="0"/>
    <m/>
    <s v="High"/>
    <n v="41003"/>
  </r>
  <r>
    <s v="31ae9a98-66f3-11ea-9239-7077813058ce"/>
    <x v="129"/>
    <n v="599"/>
    <n v="58511"/>
    <x v="1"/>
    <x v="0"/>
    <m/>
    <s v="High"/>
    <n v="58511"/>
  </r>
  <r>
    <s v="31af36c0-66f3-11ea-9653-7077813058ce"/>
    <x v="130"/>
    <n v="306"/>
    <n v="52868"/>
    <x v="0"/>
    <x v="1"/>
    <d v="1983-07-22T00:00:00"/>
    <s v="High"/>
    <n v="52868"/>
  </r>
  <r>
    <s v="31affa0a-66f3-11ea-8464-7077813058ce"/>
    <x v="131"/>
    <n v="536"/>
    <n v="8206"/>
    <x v="0"/>
    <x v="0"/>
    <d v="2016-09-21T00:00:00"/>
    <s v="High"/>
    <n v="8206"/>
  </r>
  <r>
    <s v="31b0e428-66f3-11ea-8884-7077813058ce"/>
    <x v="132"/>
    <n v="20"/>
    <n v="48873"/>
    <x v="1"/>
    <x v="0"/>
    <m/>
    <s v="High"/>
    <n v="48873"/>
  </r>
  <r>
    <s v="31b21c7a-66f3-11ea-b007-7077813058ce"/>
    <x v="133"/>
    <n v="515"/>
    <n v="22214"/>
    <x v="1"/>
    <x v="0"/>
    <m/>
    <s v="High"/>
    <n v="22214"/>
  </r>
  <r>
    <s v="31b2dfd8-66f3-11ea-b094-7077813058ce"/>
    <x v="134"/>
    <n v="332"/>
    <n v="806"/>
    <x v="1"/>
    <x v="1"/>
    <m/>
    <s v="Low"/>
    <n v="806"/>
  </r>
  <r>
    <s v="31b3ca0a-66f3-11ea-bdb1-7077813058ce"/>
    <x v="135"/>
    <n v="127"/>
    <n v="27590"/>
    <x v="0"/>
    <x v="0"/>
    <d v="2006-01-09T00:00:00"/>
    <s v="High"/>
    <n v="27590"/>
  </r>
  <r>
    <s v="31b4db48-66f3-11ea-8ac6-7077813058ce"/>
    <x v="136"/>
    <n v="958"/>
    <n v="5769"/>
    <x v="1"/>
    <x v="0"/>
    <m/>
    <s v="Medium"/>
    <n v="5769"/>
  </r>
  <r>
    <s v="31b6138a-66f3-11ea-a991-7077813058ce"/>
    <x v="137"/>
    <n v="42"/>
    <n v="38290"/>
    <x v="0"/>
    <x v="1"/>
    <d v="1979-09-12T00:00:00"/>
    <s v="High"/>
    <n v="38290"/>
  </r>
  <r>
    <s v="31b6fdd4-66f3-11ea-8bc0-7077813058ce"/>
    <x v="138"/>
    <n v="977"/>
    <n v="44807"/>
    <x v="0"/>
    <x v="0"/>
    <d v="2002-10-20T00:00:00"/>
    <s v="High"/>
    <n v="44807"/>
  </r>
  <r>
    <s v="31b80f2e-66f3-11ea-9f03-7077813058ce"/>
    <x v="139"/>
    <n v="460"/>
    <n v="11223"/>
    <x v="0"/>
    <x v="1"/>
    <d v="2005-09-15T00:00:00"/>
    <s v="High"/>
    <n v="11223"/>
  </r>
  <r>
    <s v="31b8ab40-66f3-11ea-a1ea-7077813058ce"/>
    <x v="140"/>
    <n v="659"/>
    <n v="85889"/>
    <x v="0"/>
    <x v="1"/>
    <d v="1998-09-11T00:00:00"/>
    <s v="High"/>
    <n v="85889"/>
  </r>
  <r>
    <s v="31b96e70-66f3-11ea-9a67-7077813058ce"/>
    <x v="141"/>
    <n v="197"/>
    <n v="57138"/>
    <x v="0"/>
    <x v="1"/>
    <d v="1989-08-23T00:00:00"/>
    <s v="High"/>
    <n v="57138"/>
  </r>
  <r>
    <s v="31ba31b0-66f3-11ea-b455-7077813058ce"/>
    <x v="142"/>
    <n v="540"/>
    <n v="987"/>
    <x v="0"/>
    <x v="1"/>
    <d v="1977-11-08T00:00:00"/>
    <s v="Low"/>
    <n v="987"/>
  </r>
  <r>
    <s v="31bb1bfa-66f3-11ea-982b-7077813058ce"/>
    <x v="143"/>
    <n v="178"/>
    <n v="80179"/>
    <x v="0"/>
    <x v="1"/>
    <d v="2009-01-26T00:00:00"/>
    <s v="High"/>
    <n v="80179"/>
  </r>
  <r>
    <s v="31bbdf14-66f3-11ea-8012-7077813058ce"/>
    <x v="144"/>
    <n v="202"/>
    <n v="63810"/>
    <x v="0"/>
    <x v="0"/>
    <d v="2001-08-03T00:00:00"/>
    <s v="High"/>
    <n v="63810"/>
  </r>
  <r>
    <s v="31bca246-66f3-11ea-abf6-7077813058ce"/>
    <x v="145"/>
    <n v="632"/>
    <n v="22261"/>
    <x v="0"/>
    <x v="0"/>
    <d v="1992-12-25T00:00:00"/>
    <s v="High"/>
    <n v="22261"/>
  </r>
  <r>
    <s v="31bd8c92-66f3-11ea-9011-7077813058ce"/>
    <x v="146"/>
    <n v="25"/>
    <n v="37286"/>
    <x v="0"/>
    <x v="0"/>
    <d v="2004-05-17T00:00:00"/>
    <s v="High"/>
    <n v="37286"/>
  </r>
  <r>
    <s v="31be28b0-66f3-11ea-ac89-7077813058ce"/>
    <x v="147"/>
    <n v="990"/>
    <n v="73874"/>
    <x v="0"/>
    <x v="0"/>
    <d v="2003-11-28T00:00:00"/>
    <s v="High"/>
    <n v="73874"/>
  </r>
  <r>
    <s v="31beebdc-66f3-11ea-a06e-7077813058ce"/>
    <x v="148"/>
    <n v="913"/>
    <n v="20187"/>
    <x v="1"/>
    <x v="1"/>
    <m/>
    <s v="High"/>
    <n v="20187"/>
  </r>
  <r>
    <s v="31bfaf0c-66f3-11ea-8a4e-7077813058ce"/>
    <x v="149"/>
    <n v="371"/>
    <n v="51038"/>
    <x v="1"/>
    <x v="1"/>
    <m/>
    <s v="High"/>
    <n v="51038"/>
  </r>
  <r>
    <s v="31c07288-66f3-11ea-a2cf-7077813058ce"/>
    <x v="150"/>
    <n v="514"/>
    <n v="89846"/>
    <x v="1"/>
    <x v="1"/>
    <m/>
    <s v="High"/>
    <n v="89846"/>
  </r>
  <r>
    <s v="31c1364c-66f3-11ea-82bf-7077813058ce"/>
    <x v="151"/>
    <n v="707"/>
    <n v="59967"/>
    <x v="1"/>
    <x v="0"/>
    <m/>
    <s v="High"/>
    <n v="59967"/>
  </r>
  <r>
    <s v="31c1f8b4-66f3-11ea-8397-7077813058ce"/>
    <x v="152"/>
    <n v="473"/>
    <n v="59474"/>
    <x v="0"/>
    <x v="1"/>
    <d v="2012-01-17T00:00:00"/>
    <s v="High"/>
    <n v="59474"/>
  </r>
  <r>
    <s v="31c30a08-66f3-11ea-aba8-7077813058ce"/>
    <x v="153"/>
    <n v="847"/>
    <n v="77342"/>
    <x v="1"/>
    <x v="1"/>
    <m/>
    <s v="High"/>
    <n v="77342"/>
  </r>
  <r>
    <s v="31c49062-66f3-11ea-ba20-7077813058ce"/>
    <x v="154"/>
    <n v="815"/>
    <n v="57460"/>
    <x v="0"/>
    <x v="1"/>
    <d v="2010-03-02T00:00:00"/>
    <s v="High"/>
    <n v="57460"/>
  </r>
  <r>
    <s v="31c616ba-66f3-11ea-afb3-7077813058ce"/>
    <x v="155"/>
    <n v="928"/>
    <n v="74930"/>
    <x v="1"/>
    <x v="1"/>
    <m/>
    <s v="High"/>
    <n v="74930"/>
  </r>
  <r>
    <s v="31c6b2fe-66f3-11ea-9b07-7077813058ce"/>
    <x v="156"/>
    <n v="210"/>
    <n v="89389"/>
    <x v="1"/>
    <x v="1"/>
    <m/>
    <s v="High"/>
    <n v="89389"/>
  </r>
  <r>
    <s v="31c77618-66f3-11ea-bb5b-7077813058ce"/>
    <x v="157"/>
    <n v="793"/>
    <n v="86767"/>
    <x v="1"/>
    <x v="1"/>
    <m/>
    <s v="High"/>
    <n v="86767"/>
  </r>
  <r>
    <s v="31c8394a-66f3-11ea-bf8e-7077813058ce"/>
    <x v="158"/>
    <n v="872"/>
    <n v="42257"/>
    <x v="0"/>
    <x v="1"/>
    <d v="2008-05-17T00:00:00"/>
    <s v="High"/>
    <n v="42257"/>
  </r>
  <r>
    <s v="31c8fc98-66f3-11ea-b3c3-7077813058ce"/>
    <x v="159"/>
    <n v="298"/>
    <n v="28987"/>
    <x v="1"/>
    <x v="1"/>
    <m/>
    <s v="High"/>
    <n v="28987"/>
  </r>
  <r>
    <s v="31c9e6be-66f3-11ea-9f95-7077813058ce"/>
    <x v="160"/>
    <n v="941"/>
    <n v="38952"/>
    <x v="0"/>
    <x v="1"/>
    <d v="2010-08-28T00:00:00"/>
    <s v="High"/>
    <n v="38952"/>
  </r>
  <r>
    <s v="31caa9ee-66f3-11ea-bce1-7077813058ce"/>
    <x v="161"/>
    <n v="731"/>
    <n v="50635"/>
    <x v="1"/>
    <x v="1"/>
    <m/>
    <s v="High"/>
    <n v="50635"/>
  </r>
  <r>
    <s v="31cb461a-66f3-11ea-a37c-7077813058ce"/>
    <x v="162"/>
    <n v="500"/>
    <n v="32800"/>
    <x v="1"/>
    <x v="1"/>
    <m/>
    <s v="High"/>
    <n v="32800"/>
  </r>
  <r>
    <s v="31cc0964-66f3-11ea-b6b3-7077813058ce"/>
    <x v="163"/>
    <n v="142"/>
    <n v="67478"/>
    <x v="1"/>
    <x v="0"/>
    <m/>
    <s v="High"/>
    <n v="67478"/>
  </r>
  <r>
    <s v="31cccd64-66f3-11ea-a4c2-7077813058ce"/>
    <x v="164"/>
    <n v="787"/>
    <n v="24449"/>
    <x v="0"/>
    <x v="1"/>
    <d v="2011-06-25T00:00:00"/>
    <s v="High"/>
    <n v="24449"/>
  </r>
  <r>
    <s v="31cd8fca-66f3-11ea-97a4-7077813058ce"/>
    <x v="165"/>
    <n v="749"/>
    <n v="3119"/>
    <x v="0"/>
    <x v="0"/>
    <d v="2014-07-02T00:00:00"/>
    <s v="Medium"/>
    <n v="3119"/>
  </r>
  <r>
    <s v="31ce7a18-66f3-11ea-94eb-7077813058ce"/>
    <x v="166"/>
    <n v="304"/>
    <n v="13693"/>
    <x v="0"/>
    <x v="1"/>
    <d v="2004-09-25T00:00:00"/>
    <s v="High"/>
    <n v="13693"/>
  </r>
  <r>
    <s v="31cf3d24-66f3-11ea-8054-7077813058ce"/>
    <x v="167"/>
    <n v="30"/>
    <n v="80796"/>
    <x v="0"/>
    <x v="1"/>
    <d v="2010-03-09T00:00:00"/>
    <s v="High"/>
    <n v="80796"/>
  </r>
  <r>
    <s v="31d0006c-66f3-11ea-9c10-7077813058ce"/>
    <x v="168"/>
    <n v="477"/>
    <n v="19804"/>
    <x v="1"/>
    <x v="1"/>
    <m/>
    <s v="High"/>
    <n v="19804"/>
  </r>
  <r>
    <s v="31d16094-66f3-11ea-b511-7077813058ce"/>
    <x v="169"/>
    <n v="52"/>
    <n v="75766"/>
    <x v="1"/>
    <x v="0"/>
    <m/>
    <s v="High"/>
    <n v="75766"/>
  </r>
  <r>
    <s v="31d222e8-66f3-11ea-9b54-7077813058ce"/>
    <x v="170"/>
    <n v="73"/>
    <n v="74338"/>
    <x v="1"/>
    <x v="1"/>
    <m/>
    <s v="High"/>
    <n v="74338"/>
  </r>
  <r>
    <s v="31d2e636-66f3-11ea-8df2-7077813058ce"/>
    <x v="171"/>
    <n v="691"/>
    <n v="73423"/>
    <x v="0"/>
    <x v="0"/>
    <d v="2012-08-20T00:00:00"/>
    <s v="High"/>
    <n v="73423"/>
  </r>
  <r>
    <s v="31d3f842-66f3-11ea-a75e-7077813058ce"/>
    <x v="172"/>
    <n v="786"/>
    <n v="91842"/>
    <x v="0"/>
    <x v="1"/>
    <d v="1976-08-31T00:00:00"/>
    <s v="High"/>
    <n v="91842"/>
  </r>
  <r>
    <s v="31d4bb6c-66f3-11ea-9ff7-7077813058ce"/>
    <x v="173"/>
    <n v="68"/>
    <n v="81148"/>
    <x v="1"/>
    <x v="1"/>
    <m/>
    <s v="High"/>
    <n v="81148"/>
  </r>
  <r>
    <s v="31d5a4e4-66f3-11ea-861b-7077813058ce"/>
    <x v="174"/>
    <n v="630"/>
    <n v="96963"/>
    <x v="0"/>
    <x v="1"/>
    <d v="2009-09-29T00:00:00"/>
    <s v="High"/>
    <n v="96963"/>
  </r>
  <r>
    <s v="31d68f18-66f3-11ea-b8c4-7077813058ce"/>
    <x v="175"/>
    <n v="357"/>
    <n v="88092"/>
    <x v="1"/>
    <x v="1"/>
    <m/>
    <s v="High"/>
    <n v="88092"/>
  </r>
  <r>
    <s v="31d77952-66f3-11ea-b47a-7077813058ce"/>
    <x v="176"/>
    <n v="455"/>
    <n v="66397"/>
    <x v="1"/>
    <x v="0"/>
    <m/>
    <s v="High"/>
    <n v="66397"/>
  </r>
  <r>
    <s v="31d8638c-66f3-11ea-8b90-7077813058ce"/>
    <x v="177"/>
    <n v="947"/>
    <n v="1714"/>
    <x v="0"/>
    <x v="0"/>
    <d v="1987-04-30T00:00:00"/>
    <s v="Low"/>
    <n v="1714"/>
  </r>
  <r>
    <s v="31d927a2-66f3-11ea-bb48-7077813058ce"/>
    <x v="178"/>
    <n v="589"/>
    <n v="5059"/>
    <x v="1"/>
    <x v="0"/>
    <m/>
    <s v="Medium"/>
    <n v="5059"/>
  </r>
  <r>
    <s v="31d9eaca-66f3-11ea-b8c8-7077813058ce"/>
    <x v="179"/>
    <n v="863"/>
    <n v="66582"/>
    <x v="1"/>
    <x v="0"/>
    <m/>
    <s v="High"/>
    <n v="66582"/>
  </r>
  <r>
    <s v="31da86f6-66f3-11ea-8b12-7077813058ce"/>
    <x v="180"/>
    <n v="668"/>
    <n v="42143"/>
    <x v="0"/>
    <x v="0"/>
    <d v="1972-06-16T00:00:00"/>
    <s v="High"/>
    <n v="42143"/>
  </r>
  <r>
    <s v="31db9768-66f3-11ea-883c-7077813058ce"/>
    <x v="181"/>
    <n v="206"/>
    <n v="27741"/>
    <x v="1"/>
    <x v="1"/>
    <m/>
    <s v="High"/>
    <n v="27741"/>
  </r>
  <r>
    <s v="31dcf6d4-66f3-11ea-a647-7077813058ce"/>
    <x v="182"/>
    <n v="835"/>
    <n v="696"/>
    <x v="1"/>
    <x v="0"/>
    <m/>
    <s v="Low"/>
    <n v="696"/>
  </r>
  <r>
    <s v="31de0880-66f3-11ea-ab1e-7077813058ce"/>
    <x v="183"/>
    <n v="315"/>
    <n v="37660"/>
    <x v="1"/>
    <x v="0"/>
    <m/>
    <s v="High"/>
    <n v="37660"/>
  </r>
  <r>
    <s v="31df1974-66f3-11ea-948f-7077813058ce"/>
    <x v="184"/>
    <n v="553"/>
    <n v="16299"/>
    <x v="1"/>
    <x v="0"/>
    <m/>
    <s v="High"/>
    <n v="16299"/>
  </r>
  <r>
    <s v="31e02ac0-66f3-11ea-85d7-7077813058ce"/>
    <x v="185"/>
    <n v="861"/>
    <n v="16690"/>
    <x v="0"/>
    <x v="0"/>
    <d v="1996-09-13T00:00:00"/>
    <s v="High"/>
    <n v="16690"/>
  </r>
  <r>
    <s v="31e163c2-66f3-11ea-a771-7077813058ce"/>
    <x v="186"/>
    <n v="279"/>
    <n v="21003"/>
    <x v="1"/>
    <x v="0"/>
    <m/>
    <s v="High"/>
    <n v="21003"/>
  </r>
  <r>
    <s v="31e27454-66f3-11ea-985a-7077813058ce"/>
    <x v="187"/>
    <n v="75"/>
    <n v="93642"/>
    <x v="0"/>
    <x v="1"/>
    <d v="2002-09-08T00:00:00"/>
    <s v="High"/>
    <n v="93642"/>
  </r>
  <r>
    <s v="31e3aca4-66f3-11ea-b4f1-7077813058ce"/>
    <x v="188"/>
    <n v="895"/>
    <n v="34832"/>
    <x v="1"/>
    <x v="1"/>
    <m/>
    <s v="High"/>
    <n v="34832"/>
  </r>
  <r>
    <s v="31e496d4-66f3-11ea-ae24-7077813058ce"/>
    <x v="189"/>
    <n v="866"/>
    <n v="59176"/>
    <x v="0"/>
    <x v="1"/>
    <d v="1995-01-01T00:00:00"/>
    <s v="High"/>
    <n v="59176"/>
  </r>
  <r>
    <s v="31e5a810-66f3-11ea-b394-7077813058ce"/>
    <x v="190"/>
    <n v="792"/>
    <n v="3846"/>
    <x v="1"/>
    <x v="1"/>
    <m/>
    <s v="Medium"/>
    <n v="3846"/>
  </r>
  <r>
    <s v="31e70780-66f3-11ea-a98c-7077813058ce"/>
    <x v="191"/>
    <n v="191"/>
    <n v="17651"/>
    <x v="0"/>
    <x v="0"/>
    <d v="1989-10-17T00:00:00"/>
    <s v="High"/>
    <n v="17651"/>
  </r>
  <r>
    <s v="31e7ca9a-66f3-11ea-a42b-7077813058ce"/>
    <x v="192"/>
    <n v="59"/>
    <n v="2282"/>
    <x v="1"/>
    <x v="0"/>
    <m/>
    <s v="Low"/>
    <n v="2282"/>
  </r>
  <r>
    <s v="31e92a06-66f3-11ea-a2c3-7077813058ce"/>
    <x v="193"/>
    <n v="748"/>
    <n v="49908"/>
    <x v="1"/>
    <x v="0"/>
    <m/>
    <s v="High"/>
    <n v="49908"/>
  </r>
  <r>
    <s v="31ea3b58-66f3-11ea-bc9e-7077813058ce"/>
    <x v="194"/>
    <n v="693"/>
    <n v="68886"/>
    <x v="1"/>
    <x v="1"/>
    <m/>
    <s v="High"/>
    <n v="68886"/>
  </r>
  <r>
    <s v="31eb4c8c-66f3-11ea-b7ad-7077813058ce"/>
    <x v="195"/>
    <n v="955"/>
    <n v="41456"/>
    <x v="0"/>
    <x v="0"/>
    <d v="1992-12-27T00:00:00"/>
    <s v="High"/>
    <n v="41456"/>
  </r>
  <r>
    <s v="31ebe8b4-66f3-11ea-b8ca-7077813058ce"/>
    <x v="196"/>
    <n v="538"/>
    <n v="39488"/>
    <x v="1"/>
    <x v="1"/>
    <m/>
    <s v="High"/>
    <n v="39488"/>
  </r>
  <r>
    <s v="31ecabe2-66f3-11ea-9fa2-7077813058ce"/>
    <x v="197"/>
    <n v="169"/>
    <n v="75362"/>
    <x v="0"/>
    <x v="1"/>
    <d v="2017-08-24T00:00:00"/>
    <s v="High"/>
    <n v="75362"/>
  </r>
  <r>
    <s v="31ed6f18-66f3-11ea-af57-7077813058ce"/>
    <x v="198"/>
    <n v="924"/>
    <n v="73137"/>
    <x v="0"/>
    <x v="0"/>
    <d v="2015-03-20T00:00:00"/>
    <s v="High"/>
    <n v="73137"/>
  </r>
  <r>
    <s v="31ee3246-66f3-11ea-ae6c-7077813058ce"/>
    <x v="199"/>
    <n v="579"/>
    <n v="77570"/>
    <x v="1"/>
    <x v="0"/>
    <m/>
    <s v="High"/>
    <n v="7757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n v="690"/>
    <n v="690"/>
    <n v="1210"/>
    <x v="0"/>
  </r>
  <r>
    <x v="1"/>
    <n v="933"/>
    <n v="933"/>
    <n v="1114"/>
    <x v="1"/>
  </r>
  <r>
    <x v="2"/>
    <n v="261"/>
    <n v="261"/>
    <n v="1020"/>
    <x v="2"/>
  </r>
  <r>
    <x v="3"/>
    <n v="445"/>
    <n v="445"/>
    <n v="1351"/>
    <x v="3"/>
  </r>
  <r>
    <x v="4"/>
    <n v="722"/>
    <n v="722"/>
    <n v="566"/>
    <x v="4"/>
  </r>
  <r>
    <x v="5"/>
    <n v="129"/>
    <n v="129"/>
    <n v="590"/>
    <x v="5"/>
  </r>
  <r>
    <x v="6"/>
    <n v="489"/>
    <n v="489"/>
    <n v="1407"/>
    <x v="6"/>
  </r>
  <r>
    <x v="7"/>
    <n v="165"/>
    <n v="165"/>
    <n v="786"/>
    <x v="7"/>
  </r>
  <r>
    <x v="8"/>
    <n v="164"/>
    <n v="164"/>
    <n v="855"/>
    <x v="8"/>
  </r>
  <r>
    <x v="9"/>
    <n v="364"/>
    <n v="364"/>
    <n v="1182"/>
    <x v="0"/>
  </r>
  <r>
    <x v="10"/>
    <n v="469"/>
    <n v="469"/>
    <n v="25"/>
    <x v="9"/>
  </r>
  <r>
    <x v="11"/>
    <n v="158"/>
    <n v="158"/>
    <n v="861"/>
    <x v="10"/>
  </r>
  <r>
    <x v="12"/>
    <n v="337"/>
    <n v="337"/>
    <n v="834"/>
    <x v="11"/>
  </r>
  <r>
    <x v="13"/>
    <n v="634"/>
    <n v="634"/>
    <n v="1446"/>
    <x v="12"/>
  </r>
  <r>
    <x v="14"/>
    <n v="577"/>
    <n v="577"/>
    <n v="1455"/>
    <x v="4"/>
  </r>
  <r>
    <x v="15"/>
    <n v="907"/>
    <n v="907"/>
    <n v="1020"/>
    <x v="13"/>
  </r>
  <r>
    <x v="16"/>
    <n v="870"/>
    <n v="870"/>
    <n v="1042"/>
    <x v="14"/>
  </r>
  <r>
    <x v="17"/>
    <n v="982"/>
    <n v="982"/>
    <n v="915"/>
    <x v="9"/>
  </r>
  <r>
    <x v="18"/>
    <n v="351"/>
    <n v="351"/>
    <n v="1053"/>
    <x v="15"/>
  </r>
  <r>
    <x v="19"/>
    <n v="328"/>
    <n v="328"/>
    <n v="1066"/>
    <x v="1"/>
  </r>
  <r>
    <x v="20"/>
    <n v="242"/>
    <n v="242"/>
    <n v="1253"/>
    <x v="7"/>
  </r>
  <r>
    <x v="21"/>
    <n v="421"/>
    <n v="421"/>
    <n v="535"/>
    <x v="13"/>
  </r>
  <r>
    <x v="22"/>
    <n v="6"/>
    <n v="6"/>
    <n v="1256"/>
    <x v="16"/>
  </r>
  <r>
    <x v="23"/>
    <n v="384"/>
    <n v="384"/>
    <n v="1033"/>
    <x v="17"/>
  </r>
  <r>
    <x v="24"/>
    <n v="286"/>
    <n v="286"/>
    <n v="817"/>
    <x v="9"/>
  </r>
  <r>
    <x v="25"/>
    <n v="892"/>
    <n v="892"/>
    <n v="1037"/>
    <x v="18"/>
  </r>
  <r>
    <x v="26"/>
    <n v="558"/>
    <n v="558"/>
    <n v="951"/>
    <x v="8"/>
  </r>
  <r>
    <x v="27"/>
    <n v="481"/>
    <n v="481"/>
    <n v="770"/>
    <x v="19"/>
  </r>
  <r>
    <x v="28"/>
    <n v="155"/>
    <n v="155"/>
    <n v="293"/>
    <x v="4"/>
  </r>
  <r>
    <x v="29"/>
    <n v="771"/>
    <n v="771"/>
    <n v="1414"/>
    <x v="8"/>
  </r>
  <r>
    <x v="30"/>
    <n v="945"/>
    <n v="945"/>
    <n v="524"/>
    <x v="20"/>
  </r>
  <r>
    <x v="31"/>
    <n v="719"/>
    <n v="719"/>
    <n v="1183"/>
    <x v="21"/>
  </r>
  <r>
    <x v="32"/>
    <n v="493"/>
    <n v="493"/>
    <n v="566"/>
    <x v="1"/>
  </r>
  <r>
    <x v="33"/>
    <n v="998"/>
    <n v="998"/>
    <n v="961"/>
    <x v="18"/>
  </r>
  <r>
    <x v="34"/>
    <n v="968"/>
    <n v="968"/>
    <n v="54"/>
    <x v="22"/>
  </r>
  <r>
    <x v="35"/>
    <n v="738"/>
    <n v="738"/>
    <n v="1044"/>
    <x v="19"/>
  </r>
  <r>
    <x v="36"/>
    <n v="912"/>
    <n v="912"/>
    <n v="1082"/>
    <x v="5"/>
  </r>
  <r>
    <x v="37"/>
    <n v="782"/>
    <n v="782"/>
    <n v="871"/>
    <x v="3"/>
  </r>
  <r>
    <x v="38"/>
    <n v="140"/>
    <n v="140"/>
    <n v="970"/>
    <x v="2"/>
  </r>
  <r>
    <x v="39"/>
    <n v="702"/>
    <n v="702"/>
    <n v="617"/>
    <x v="16"/>
  </r>
  <r>
    <x v="40"/>
    <n v="284"/>
    <n v="284"/>
    <n v="814"/>
    <x v="15"/>
  </r>
  <r>
    <x v="41"/>
    <n v="199"/>
    <n v="199"/>
    <n v="1145"/>
    <x v="4"/>
  </r>
  <r>
    <x v="42"/>
    <n v="228"/>
    <n v="228"/>
    <n v="902"/>
    <x v="7"/>
  </r>
  <r>
    <x v="43"/>
    <n v="908"/>
    <n v="908"/>
    <n v="1470"/>
    <x v="5"/>
  </r>
  <r>
    <x v="44"/>
    <n v="594"/>
    <n v="594"/>
    <n v="568"/>
    <x v="21"/>
  </r>
  <r>
    <x v="45"/>
    <n v="542"/>
    <n v="542"/>
    <n v="487"/>
    <x v="7"/>
  </r>
  <r>
    <x v="46"/>
    <n v="586"/>
    <n v="586"/>
    <n v="1197"/>
    <x v="2"/>
  </r>
  <r>
    <x v="47"/>
    <n v="636"/>
    <n v="636"/>
    <n v="994"/>
    <x v="17"/>
  </r>
  <r>
    <x v="48"/>
    <n v="581"/>
    <n v="581"/>
    <n v="933"/>
    <x v="0"/>
  </r>
  <r>
    <x v="49"/>
    <n v="336"/>
    <n v="336"/>
    <n v="1168"/>
    <x v="13"/>
  </r>
  <r>
    <x v="50"/>
    <n v="504"/>
    <n v="504"/>
    <n v="561"/>
    <x v="3"/>
  </r>
  <r>
    <x v="51"/>
    <n v="346"/>
    <n v="346"/>
    <n v="850"/>
    <x v="1"/>
  </r>
  <r>
    <x v="52"/>
    <n v="135"/>
    <n v="135"/>
    <n v="1393"/>
    <x v="22"/>
  </r>
  <r>
    <x v="53"/>
    <n v="822"/>
    <n v="822"/>
    <n v="426"/>
    <x v="4"/>
  </r>
  <r>
    <x v="54"/>
    <n v="95"/>
    <n v="95"/>
    <n v="1208"/>
    <x v="20"/>
  </r>
  <r>
    <x v="55"/>
    <n v="597"/>
    <n v="597"/>
    <n v="925"/>
    <x v="18"/>
  </r>
  <r>
    <x v="56"/>
    <n v="340"/>
    <n v="340"/>
    <n v="1392"/>
    <x v="23"/>
  </r>
  <r>
    <x v="57"/>
    <n v="905"/>
    <n v="905"/>
    <n v="1425"/>
    <x v="20"/>
  </r>
  <r>
    <x v="58"/>
    <n v="250"/>
    <n v="250"/>
    <n v="1225"/>
    <x v="16"/>
  </r>
  <r>
    <x v="59"/>
    <n v="400"/>
    <n v="400"/>
    <n v="403"/>
    <x v="21"/>
  </r>
  <r>
    <x v="60"/>
    <n v="877"/>
    <n v="877"/>
    <n v="1169"/>
    <x v="19"/>
  </r>
  <r>
    <x v="61"/>
    <n v="97"/>
    <n v="97"/>
    <n v="1167"/>
    <x v="8"/>
  </r>
  <r>
    <x v="62"/>
    <n v="12"/>
    <n v="12"/>
    <n v="565"/>
    <x v="18"/>
  </r>
  <r>
    <x v="63"/>
    <n v="353"/>
    <n v="353"/>
    <n v="354"/>
    <x v="19"/>
  </r>
  <r>
    <x v="64"/>
    <n v="856"/>
    <n v="856"/>
    <n v="1178"/>
    <x v="19"/>
  </r>
  <r>
    <x v="65"/>
    <n v="1"/>
    <n v="1"/>
    <n v="1385"/>
    <x v="0"/>
  </r>
  <r>
    <x v="66"/>
    <n v="390"/>
    <n v="390"/>
    <n v="780"/>
    <x v="11"/>
  </r>
  <r>
    <x v="67"/>
    <n v="446"/>
    <n v="446"/>
    <n v="1247"/>
    <x v="10"/>
  </r>
  <r>
    <x v="68"/>
    <n v="32"/>
    <n v="32"/>
    <n v="705"/>
    <x v="24"/>
  </r>
  <r>
    <x v="69"/>
    <n v="420"/>
    <n v="420"/>
    <n v="1130"/>
    <x v="0"/>
  </r>
  <r>
    <x v="70"/>
    <n v="708"/>
    <n v="708"/>
    <n v="72"/>
    <x v="13"/>
  </r>
  <r>
    <x v="71"/>
    <n v="227"/>
    <n v="227"/>
    <n v="564"/>
    <x v="25"/>
  </r>
  <r>
    <x v="72"/>
    <n v="595"/>
    <n v="595"/>
    <n v="1040"/>
    <x v="14"/>
  </r>
  <r>
    <x v="73"/>
    <n v="211"/>
    <n v="211"/>
    <n v="1220"/>
    <x v="1"/>
  </r>
  <r>
    <x v="74"/>
    <n v="650"/>
    <n v="650"/>
    <n v="1141"/>
    <x v="20"/>
  </r>
  <r>
    <x v="75"/>
    <n v="45"/>
    <n v="45"/>
    <n v="1050"/>
    <x v="1"/>
  </r>
  <r>
    <x v="76"/>
    <n v="201"/>
    <n v="201"/>
    <n v="850"/>
    <x v="8"/>
  </r>
  <r>
    <x v="77"/>
    <n v="564"/>
    <n v="564"/>
    <n v="1275"/>
    <x v="21"/>
  </r>
  <r>
    <x v="78"/>
    <n v="138"/>
    <n v="138"/>
    <n v="714"/>
    <x v="1"/>
  </r>
  <r>
    <x v="79"/>
    <n v="57"/>
    <n v="57"/>
    <n v="1027"/>
    <x v="10"/>
  </r>
  <r>
    <x v="80"/>
    <n v="128"/>
    <n v="128"/>
    <n v="1486"/>
    <x v="0"/>
  </r>
  <r>
    <x v="81"/>
    <n v="33"/>
    <n v="33"/>
    <n v="1312"/>
    <x v="25"/>
  </r>
  <r>
    <x v="82"/>
    <n v="936"/>
    <n v="936"/>
    <n v="1007"/>
    <x v="26"/>
  </r>
  <r>
    <x v="83"/>
    <n v="762"/>
    <n v="762"/>
    <n v="926"/>
    <x v="17"/>
  </r>
  <r>
    <x v="84"/>
    <n v="838"/>
    <n v="838"/>
    <n v="1036"/>
    <x v="18"/>
  </r>
  <r>
    <x v="85"/>
    <n v="215"/>
    <n v="215"/>
    <n v="1161"/>
    <x v="0"/>
  </r>
  <r>
    <x v="86"/>
    <n v="818"/>
    <n v="818"/>
    <n v="1016"/>
    <x v="7"/>
  </r>
  <r>
    <x v="87"/>
    <n v="780"/>
    <n v="780"/>
    <n v="1058"/>
    <x v="23"/>
  </r>
  <r>
    <x v="88"/>
    <n v="40"/>
    <n v="40"/>
    <n v="648"/>
    <x v="2"/>
  </r>
  <r>
    <x v="89"/>
    <n v="366"/>
    <n v="366"/>
    <n v="1015"/>
    <x v="25"/>
  </r>
  <r>
    <x v="90"/>
    <n v="678"/>
    <n v="678"/>
    <n v="938"/>
    <x v="3"/>
  </r>
  <r>
    <x v="91"/>
    <n v="703"/>
    <n v="703"/>
    <n v="597"/>
    <x v="16"/>
  </r>
  <r>
    <x v="92"/>
    <n v="180"/>
    <n v="180"/>
    <n v="1182"/>
    <x v="19"/>
  </r>
  <r>
    <x v="93"/>
    <n v="214"/>
    <n v="214"/>
    <n v="713"/>
    <x v="9"/>
  </r>
  <r>
    <x v="94"/>
    <n v="408"/>
    <n v="408"/>
    <n v="939"/>
    <x v="12"/>
  </r>
  <r>
    <x v="95"/>
    <n v="902"/>
    <n v="902"/>
    <n v="1082"/>
    <x v="2"/>
  </r>
  <r>
    <x v="96"/>
    <n v="763"/>
    <n v="763"/>
    <n v="1347"/>
    <x v="14"/>
  </r>
  <r>
    <x v="97"/>
    <n v="168"/>
    <n v="168"/>
    <n v="47"/>
    <x v="4"/>
  </r>
  <r>
    <x v="98"/>
    <n v="723"/>
    <n v="723"/>
    <n v="762"/>
    <x v="4"/>
  </r>
  <r>
    <x v="99"/>
    <n v="438"/>
    <n v="438"/>
    <n v="642"/>
    <x v="14"/>
  </r>
  <r>
    <x v="100"/>
    <n v="162"/>
    <n v="162"/>
    <n v="665"/>
    <x v="14"/>
  </r>
  <r>
    <x v="101"/>
    <n v="246"/>
    <n v="246"/>
    <n v="963"/>
    <x v="9"/>
  </r>
  <r>
    <x v="102"/>
    <n v="105"/>
    <n v="105"/>
    <n v="1419"/>
    <x v="19"/>
  </r>
  <r>
    <x v="103"/>
    <n v="308"/>
    <n v="308"/>
    <n v="656"/>
    <x v="22"/>
  </r>
  <r>
    <x v="104"/>
    <n v="172"/>
    <n v="172"/>
    <n v="1381"/>
    <x v="15"/>
  </r>
  <r>
    <x v="105"/>
    <n v="775"/>
    <n v="775"/>
    <n v="713"/>
    <x v="14"/>
  </r>
  <r>
    <x v="106"/>
    <n v="333"/>
    <n v="333"/>
    <n v="1104"/>
    <x v="24"/>
  </r>
  <r>
    <x v="107"/>
    <n v="548"/>
    <n v="548"/>
    <n v="571"/>
    <x v="7"/>
  </r>
  <r>
    <x v="108"/>
    <n v="665"/>
    <n v="665"/>
    <n v="1405"/>
    <x v="21"/>
  </r>
  <r>
    <x v="109"/>
    <n v="305"/>
    <n v="305"/>
    <n v="1473"/>
    <x v="19"/>
  </r>
  <r>
    <x v="110"/>
    <n v="938"/>
    <n v="938"/>
    <n v="20"/>
    <x v="17"/>
  </r>
  <r>
    <x v="111"/>
    <n v="714"/>
    <n v="714"/>
    <n v="835"/>
    <x v="18"/>
  </r>
  <r>
    <x v="112"/>
    <n v="251"/>
    <n v="251"/>
    <n v="651"/>
    <x v="0"/>
  </r>
  <r>
    <x v="113"/>
    <n v="330"/>
    <n v="330"/>
    <n v="653"/>
    <x v="20"/>
  </r>
  <r>
    <x v="114"/>
    <n v="69"/>
    <n v="69"/>
    <n v="740"/>
    <x v="0"/>
  </r>
  <r>
    <x v="115"/>
    <n v="969"/>
    <n v="969"/>
    <n v="1334"/>
    <x v="11"/>
  </r>
  <r>
    <x v="116"/>
    <n v="974"/>
    <n v="974"/>
    <n v="770"/>
    <x v="11"/>
  </r>
  <r>
    <x v="117"/>
    <n v="526"/>
    <n v="526"/>
    <n v="1205"/>
    <x v="16"/>
  </r>
  <r>
    <x v="118"/>
    <n v="510"/>
    <n v="510"/>
    <n v="716"/>
    <x v="7"/>
  </r>
  <r>
    <x v="119"/>
    <n v="444"/>
    <n v="444"/>
    <n v="1250"/>
    <x v="5"/>
  </r>
  <r>
    <x v="120"/>
    <n v="503"/>
    <n v="503"/>
    <n v="935"/>
    <x v="2"/>
  </r>
  <r>
    <x v="121"/>
    <n v="109"/>
    <n v="109"/>
    <n v="1185"/>
    <x v="24"/>
  </r>
  <r>
    <x v="122"/>
    <n v="823"/>
    <n v="823"/>
    <n v="1031"/>
    <x v="16"/>
  </r>
  <r>
    <x v="123"/>
    <n v="147"/>
    <n v="147"/>
    <n v="646"/>
    <x v="2"/>
  </r>
  <r>
    <x v="124"/>
    <n v="625"/>
    <n v="625"/>
    <n v="980"/>
    <x v="5"/>
  </r>
  <r>
    <x v="125"/>
    <n v="695"/>
    <n v="695"/>
    <n v="833"/>
    <x v="16"/>
  </r>
  <r>
    <x v="126"/>
    <n v="983"/>
    <n v="983"/>
    <n v="166"/>
    <x v="15"/>
  </r>
  <r>
    <x v="127"/>
    <n v="82"/>
    <n v="82"/>
    <n v="557"/>
    <x v="23"/>
  </r>
  <r>
    <x v="128"/>
    <n v="397"/>
    <n v="397"/>
    <n v="1045"/>
    <x v="15"/>
  </r>
  <r>
    <x v="129"/>
    <n v="599"/>
    <n v="599"/>
    <n v="1100"/>
    <x v="13"/>
  </r>
  <r>
    <x v="130"/>
    <n v="306"/>
    <n v="306"/>
    <n v="1150"/>
    <x v="16"/>
  </r>
  <r>
    <x v="131"/>
    <n v="536"/>
    <n v="536"/>
    <n v="281"/>
    <x v="23"/>
  </r>
  <r>
    <x v="132"/>
    <n v="20"/>
    <n v="20"/>
    <n v="1062"/>
    <x v="10"/>
  </r>
  <r>
    <x v="133"/>
    <n v="515"/>
    <n v="515"/>
    <n v="1425"/>
    <x v="5"/>
  </r>
  <r>
    <x v="134"/>
    <n v="332"/>
    <n v="332"/>
    <n v="39"/>
    <x v="5"/>
  </r>
  <r>
    <x v="135"/>
    <n v="127"/>
    <n v="127"/>
    <n v="1143"/>
    <x v="3"/>
  </r>
  <r>
    <x v="136"/>
    <n v="958"/>
    <n v="958"/>
    <n v="669"/>
    <x v="8"/>
  </r>
  <r>
    <x v="137"/>
    <n v="42"/>
    <n v="42"/>
    <n v="1134"/>
    <x v="18"/>
  </r>
  <r>
    <x v="138"/>
    <n v="977"/>
    <n v="977"/>
    <n v="558"/>
    <x v="6"/>
  </r>
  <r>
    <x v="139"/>
    <n v="460"/>
    <n v="460"/>
    <n v="1313"/>
    <x v="22"/>
  </r>
  <r>
    <x v="140"/>
    <n v="659"/>
    <n v="659"/>
    <n v="595"/>
    <x v="10"/>
  </r>
  <r>
    <x v="141"/>
    <n v="197"/>
    <n v="197"/>
    <n v="360"/>
    <x v="19"/>
  </r>
  <r>
    <x v="142"/>
    <n v="540"/>
    <n v="540"/>
    <n v="934"/>
    <x v="5"/>
  </r>
  <r>
    <x v="143"/>
    <n v="178"/>
    <n v="178"/>
    <n v="1383"/>
    <x v="19"/>
  </r>
  <r>
    <x v="144"/>
    <n v="202"/>
    <n v="202"/>
    <n v="1274"/>
    <x v="15"/>
  </r>
  <r>
    <x v="145"/>
    <n v="632"/>
    <n v="632"/>
    <n v="193"/>
    <x v="10"/>
  </r>
  <r>
    <x v="146"/>
    <n v="25"/>
    <n v="25"/>
    <n v="702"/>
    <x v="10"/>
  </r>
  <r>
    <x v="147"/>
    <n v="990"/>
    <n v="990"/>
    <n v="646"/>
    <x v="3"/>
  </r>
  <r>
    <x v="148"/>
    <n v="913"/>
    <n v="913"/>
    <n v="755"/>
    <x v="3"/>
  </r>
  <r>
    <x v="149"/>
    <n v="371"/>
    <n v="371"/>
    <n v="990"/>
    <x v="14"/>
  </r>
  <r>
    <x v="150"/>
    <n v="514"/>
    <n v="514"/>
    <n v="965"/>
    <x v="5"/>
  </r>
  <r>
    <x v="151"/>
    <n v="707"/>
    <n v="707"/>
    <n v="931"/>
    <x v="13"/>
  </r>
  <r>
    <x v="152"/>
    <n v="473"/>
    <n v="473"/>
    <n v="361"/>
    <x v="13"/>
  </r>
  <r>
    <x v="153"/>
    <n v="847"/>
    <n v="847"/>
    <n v="1297"/>
    <x v="21"/>
  </r>
  <r>
    <x v="154"/>
    <n v="815"/>
    <n v="815"/>
    <n v="130"/>
    <x v="19"/>
  </r>
  <r>
    <x v="155"/>
    <n v="928"/>
    <n v="928"/>
    <n v="904"/>
    <x v="25"/>
  </r>
  <r>
    <x v="156"/>
    <n v="210"/>
    <n v="210"/>
    <n v="1433"/>
    <x v="3"/>
  </r>
  <r>
    <x v="157"/>
    <n v="793"/>
    <n v="793"/>
    <n v="835"/>
    <x v="20"/>
  </r>
  <r>
    <x v="158"/>
    <n v="872"/>
    <n v="872"/>
    <n v="242"/>
    <x v="4"/>
  </r>
  <r>
    <x v="159"/>
    <n v="298"/>
    <n v="298"/>
    <n v="1297"/>
    <x v="10"/>
  </r>
  <r>
    <x v="160"/>
    <n v="941"/>
    <n v="941"/>
    <n v="1181"/>
    <x v="6"/>
  </r>
  <r>
    <x v="161"/>
    <n v="731"/>
    <n v="731"/>
    <n v="1242"/>
    <x v="6"/>
  </r>
  <r>
    <x v="162"/>
    <n v="500"/>
    <n v="500"/>
    <n v="236"/>
    <x v="23"/>
  </r>
  <r>
    <x v="163"/>
    <n v="142"/>
    <n v="142"/>
    <n v="1171"/>
    <x v="19"/>
  </r>
  <r>
    <x v="164"/>
    <n v="787"/>
    <n v="787"/>
    <n v="864"/>
    <x v="3"/>
  </r>
  <r>
    <x v="165"/>
    <n v="749"/>
    <n v="749"/>
    <n v="875"/>
    <x v="21"/>
  </r>
  <r>
    <x v="166"/>
    <n v="304"/>
    <n v="304"/>
    <n v="1172"/>
    <x v="17"/>
  </r>
  <r>
    <x v="167"/>
    <n v="30"/>
    <n v="30"/>
    <n v="1422"/>
    <x v="2"/>
  </r>
  <r>
    <x v="168"/>
    <n v="477"/>
    <n v="477"/>
    <n v="1061"/>
    <x v="19"/>
  </r>
  <r>
    <x v="169"/>
    <n v="52"/>
    <n v="52"/>
    <n v="1199"/>
    <x v="5"/>
  </r>
  <r>
    <x v="170"/>
    <n v="73"/>
    <n v="73"/>
    <n v="937"/>
    <x v="3"/>
  </r>
  <r>
    <x v="171"/>
    <n v="691"/>
    <n v="691"/>
    <n v="1369"/>
    <x v="20"/>
  </r>
  <r>
    <x v="172"/>
    <n v="786"/>
    <n v="786"/>
    <n v="679"/>
    <x v="1"/>
  </r>
  <r>
    <x v="173"/>
    <n v="68"/>
    <n v="68"/>
    <n v="726"/>
    <x v="0"/>
  </r>
  <r>
    <x v="174"/>
    <n v="630"/>
    <n v="630"/>
    <n v="1320"/>
    <x v="11"/>
  </r>
  <r>
    <x v="175"/>
    <n v="357"/>
    <n v="357"/>
    <n v="1113"/>
    <x v="0"/>
  </r>
  <r>
    <x v="176"/>
    <n v="455"/>
    <n v="455"/>
    <n v="580"/>
    <x v="12"/>
  </r>
  <r>
    <x v="177"/>
    <n v="947"/>
    <n v="947"/>
    <n v="1257"/>
    <x v="13"/>
  </r>
  <r>
    <x v="178"/>
    <n v="589"/>
    <n v="589"/>
    <n v="1084"/>
    <x v="14"/>
  </r>
  <r>
    <x v="179"/>
    <n v="863"/>
    <n v="863"/>
    <n v="872"/>
    <x v="9"/>
  </r>
  <r>
    <x v="180"/>
    <n v="668"/>
    <n v="668"/>
    <n v="1067"/>
    <x v="7"/>
  </r>
  <r>
    <x v="181"/>
    <n v="206"/>
    <n v="206"/>
    <n v="1251"/>
    <x v="2"/>
  </r>
  <r>
    <x v="182"/>
    <n v="835"/>
    <n v="835"/>
    <n v="1314"/>
    <x v="8"/>
  </r>
  <r>
    <x v="183"/>
    <n v="315"/>
    <n v="315"/>
    <n v="638"/>
    <x v="2"/>
  </r>
  <r>
    <x v="184"/>
    <n v="553"/>
    <n v="553"/>
    <n v="611"/>
    <x v="1"/>
  </r>
  <r>
    <x v="185"/>
    <n v="861"/>
    <n v="861"/>
    <n v="1255"/>
    <x v="1"/>
  </r>
  <r>
    <x v="186"/>
    <n v="279"/>
    <n v="279"/>
    <n v="464"/>
    <x v="12"/>
  </r>
  <r>
    <x v="187"/>
    <n v="75"/>
    <n v="75"/>
    <n v="1317"/>
    <x v="16"/>
  </r>
  <r>
    <x v="188"/>
    <n v="895"/>
    <n v="895"/>
    <n v="704"/>
    <x v="15"/>
  </r>
  <r>
    <x v="189"/>
    <n v="866"/>
    <n v="866"/>
    <n v="1260"/>
    <x v="20"/>
  </r>
  <r>
    <x v="190"/>
    <n v="792"/>
    <n v="792"/>
    <n v="1257"/>
    <x v="6"/>
  </r>
  <r>
    <x v="191"/>
    <n v="191"/>
    <n v="191"/>
    <n v="1382"/>
    <x v="11"/>
  </r>
  <r>
    <x v="192"/>
    <n v="59"/>
    <n v="59"/>
    <n v="977"/>
    <x v="20"/>
  </r>
  <r>
    <x v="193"/>
    <n v="748"/>
    <n v="748"/>
    <n v="1048"/>
    <x v="24"/>
  </r>
  <r>
    <x v="194"/>
    <n v="693"/>
    <n v="693"/>
    <n v="1271"/>
    <x v="20"/>
  </r>
  <r>
    <x v="195"/>
    <n v="955"/>
    <n v="955"/>
    <n v="1007"/>
    <x v="13"/>
  </r>
  <r>
    <x v="196"/>
    <n v="538"/>
    <n v="538"/>
    <n v="863"/>
    <x v="17"/>
  </r>
  <r>
    <x v="197"/>
    <n v="169"/>
    <n v="169"/>
    <n v="1077"/>
    <x v="26"/>
  </r>
  <r>
    <x v="198"/>
    <n v="924"/>
    <n v="924"/>
    <n v="1021"/>
    <x v="19"/>
  </r>
  <r>
    <x v="199"/>
    <n v="579"/>
    <n v="579"/>
    <n v="1385"/>
    <x v="1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690"/>
    <n v="230"/>
    <s v="Healthcare"/>
    <x v="0"/>
    <x v="0"/>
    <n v="553"/>
    <n v="1210"/>
    <s v="1800 Block of 26TH ST"/>
    <s v="1200 Block of JACKSON ST"/>
    <s v="DELIVERED"/>
    <d v="2014-04-28T00:00:00"/>
    <d v="2014-12-18T00:00:00"/>
    <s v="Heavy"/>
    <n v="234"/>
    <n v="0.45702479338842977"/>
  </r>
  <r>
    <n v="933"/>
    <n v="3189"/>
    <s v="Healthcare"/>
    <x v="1"/>
    <x v="1"/>
    <n v="810"/>
    <n v="1114"/>
    <s v="2600 Block of ALEMANY BL"/>
    <s v="700 Block of HAMPSHIRE ST"/>
    <s v="DELIVERED"/>
    <d v="1997-06-14T00:00:00"/>
    <d v="1997-07-10T00:00:00"/>
    <s v="Heavy"/>
    <n v="26"/>
    <n v="0.72710951526032319"/>
  </r>
  <r>
    <n v="261"/>
    <n v="2216"/>
    <s v="Luggage"/>
    <x v="0"/>
    <x v="1"/>
    <n v="994"/>
    <n v="1020"/>
    <s v="BARTLETT ST / 23RD ST"/>
    <s v="500 Block of HAIGHT ST"/>
    <s v="NOT DELIVERED"/>
    <d v="1993-08-14T00:00:00"/>
    <d v="1899-12-30T00:00:00"/>
    <s v="Heavy"/>
    <s v=""/>
    <n v="0.97450980392156861"/>
  </r>
  <r>
    <n v="445"/>
    <n v="1904"/>
    <s v="Home Furnishing"/>
    <x v="0"/>
    <x v="1"/>
    <n v="598"/>
    <n v="1351"/>
    <s v="1300 Block of 7TH AV"/>
    <s v="300 Block of 9TH ST"/>
    <s v="NOT DELIVERED"/>
    <d v="2019-12-13T00:00:00"/>
    <d v="1899-12-30T00:00:00"/>
    <s v="Heavy"/>
    <s v=""/>
    <n v="0.44263508512213173"/>
  </r>
  <r>
    <n v="722"/>
    <n v="7342"/>
    <s v="Electronics"/>
    <x v="1"/>
    <x v="1"/>
    <n v="412"/>
    <n v="566"/>
    <s v="0 Block of EUREKA ST"/>
    <s v="1800 Block of VANNESS AV"/>
    <s v="NOT DELIVERED"/>
    <d v="1996-09-21T00:00:00"/>
    <d v="1899-12-30T00:00:00"/>
    <s v="Light"/>
    <s v=""/>
    <n v="0.72791519434628971"/>
  </r>
  <r>
    <n v="129"/>
    <n v="7633"/>
    <s v="Food and Beverages"/>
    <x v="0"/>
    <x v="0"/>
    <n v="379"/>
    <n v="590"/>
    <s v="700 Block of VANNESS AV"/>
    <s v="500 Block of LEAVENWORTH ST"/>
    <s v="DELIVERED"/>
    <d v="1971-04-23T00:00:00"/>
    <d v="1971-11-01T00:00:00"/>
    <s v="Light"/>
    <n v="192"/>
    <n v="0.64237288135593218"/>
  </r>
  <r>
    <n v="489"/>
    <n v="2154"/>
    <s v="Fashion"/>
    <x v="0"/>
    <x v="0"/>
    <n v="892"/>
    <n v="1407"/>
    <s v="200 Block of BERRY ST"/>
    <s v="CARROLL AV / JENNINGS ST"/>
    <s v="NOT DELIVERED"/>
    <d v="2005-12-21T00:00:00"/>
    <d v="1899-12-30T00:00:00"/>
    <s v="Heavy"/>
    <s v=""/>
    <n v="0.63397299218194736"/>
  </r>
  <r>
    <n v="165"/>
    <n v="5543"/>
    <s v="Industrial Equipments"/>
    <x v="0"/>
    <x v="0"/>
    <n v="347"/>
    <n v="786"/>
    <s v="1100 Block of FRANCISCO ST"/>
    <s v="1000 Block of MARKET ST"/>
    <s v="NOT DELIVERED"/>
    <d v="1979-07-03T00:00:00"/>
    <d v="1899-12-30T00:00:00"/>
    <s v="Light"/>
    <s v=""/>
    <n v="0.44147582697201015"/>
  </r>
  <r>
    <n v="164"/>
    <n v="2332"/>
    <s v="Hazardous Goods"/>
    <x v="1"/>
    <x v="1"/>
    <n v="457"/>
    <n v="855"/>
    <s v="100 Block of NEWMONTGOMERY ST"/>
    <s v="600 Block of SOUTH VAN NESS AV"/>
    <s v="NOT DELIVERED"/>
    <d v="1976-04-29T00:00:00"/>
    <d v="1899-12-30T00:00:00"/>
    <s v="Light"/>
    <s v=""/>
    <n v="0.53450292397660815"/>
  </r>
  <r>
    <n v="364"/>
    <n v="4094"/>
    <s v="Automotive"/>
    <x v="1"/>
    <x v="1"/>
    <n v="957"/>
    <n v="1182"/>
    <s v="200 Block of SCOTT ST"/>
    <s v="2600 Block of MISSION ST"/>
    <s v="NOT DELIVERED"/>
    <d v="2012-03-03T00:00:00"/>
    <d v="1899-12-30T00:00:00"/>
    <s v="Heavy"/>
    <s v=""/>
    <n v="0.80964467005076146"/>
  </r>
  <r>
    <n v="469"/>
    <n v="3042"/>
    <s v="Electronics"/>
    <x v="1"/>
    <x v="0"/>
    <n v="23"/>
    <n v="25"/>
    <s v="BELVEDERE ST / WALLER ST"/>
    <s v="0 Block of CEDAR ST"/>
    <s v="DELIVERED"/>
    <d v="1991-02-18T00:00:00"/>
    <d v="1991-05-15T00:00:00"/>
    <s v="Light"/>
    <n v="86"/>
    <n v="0.92"/>
  </r>
  <r>
    <n v="158"/>
    <n v="2220"/>
    <s v="Healthcare"/>
    <x v="0"/>
    <x v="1"/>
    <n v="479"/>
    <n v="861"/>
    <s v="800 Block of BRYANT ST"/>
    <s v="500 Block of FREDERICK ST"/>
    <s v="DELIVERED"/>
    <d v="1976-03-31T00:00:00"/>
    <d v="1976-06-30T00:00:00"/>
    <s v="Light"/>
    <n v="91"/>
    <n v="0.55632984901277582"/>
  </r>
  <r>
    <n v="337"/>
    <n v="4988"/>
    <s v="Electronics"/>
    <x v="0"/>
    <x v="1"/>
    <n v="305"/>
    <n v="834"/>
    <s v="1300 Block of CALIFORNIA ST"/>
    <s v="0 Block of RAUSCH ST"/>
    <s v="NOT DELIVERED"/>
    <d v="1976-05-11T00:00:00"/>
    <d v="1899-12-30T00:00:00"/>
    <s v="Light"/>
    <s v=""/>
    <n v="0.3657074340527578"/>
  </r>
  <r>
    <n v="634"/>
    <n v="175"/>
    <s v="Healthcare"/>
    <x v="1"/>
    <x v="1"/>
    <n v="939"/>
    <n v="1446"/>
    <s v="300 Block of CHENERY ST"/>
    <s v="BUSH ST / BUCHANAN ST"/>
    <s v="NOT DELIVERED"/>
    <d v="1980-10-07T00:00:00"/>
    <d v="1899-12-30T00:00:00"/>
    <s v="Heavy"/>
    <s v=""/>
    <n v="0.64937759336099588"/>
  </r>
  <r>
    <n v="577"/>
    <n v="4233"/>
    <s v="Fashion"/>
    <x v="0"/>
    <x v="0"/>
    <n v="679"/>
    <n v="1455"/>
    <s v="2600 Block of 18TH ST"/>
    <s v="800 Block of BRYANT ST"/>
    <s v="DELIVERED"/>
    <d v="1987-03-19T00:00:00"/>
    <d v="1987-08-09T00:00:00"/>
    <s v="Heavy"/>
    <n v="143"/>
    <n v="0.46666666666666667"/>
  </r>
  <r>
    <n v="907"/>
    <n v="4351"/>
    <s v="Electronics"/>
    <x v="1"/>
    <x v="1"/>
    <n v="803"/>
    <n v="1020"/>
    <s v="800 Block of 30TH AV"/>
    <s v="1100 Block of MARKET ST"/>
    <s v="NOT DELIVERED"/>
    <d v="2013-07-23T00:00:00"/>
    <d v="1899-12-30T00:00:00"/>
    <s v="Heavy"/>
    <s v=""/>
    <n v="0.78725490196078429"/>
  </r>
  <r>
    <n v="870"/>
    <n v="5578"/>
    <s v="Construction"/>
    <x v="0"/>
    <x v="0"/>
    <n v="783"/>
    <n v="1042"/>
    <s v="800 Block of GENEVA AV"/>
    <s v="300 Block of 4TH ST"/>
    <s v="NOT DELIVERED"/>
    <d v="2010-03-02T00:00:00"/>
    <d v="1899-12-30T00:00:00"/>
    <s v="Heavy"/>
    <s v=""/>
    <n v="0.75143953934740881"/>
  </r>
  <r>
    <n v="982"/>
    <n v="4523"/>
    <s v="Industrial Equipments"/>
    <x v="0"/>
    <x v="0"/>
    <n v="432"/>
    <n v="915"/>
    <s v="800 Block of BRYANT ST"/>
    <s v="100 Block of TOWNSEND ST"/>
    <s v="NOT DELIVERED"/>
    <d v="2017-10-17T00:00:00"/>
    <d v="1899-12-30T00:00:00"/>
    <s v="Light"/>
    <s v=""/>
    <n v="0.47213114754098362"/>
  </r>
  <r>
    <n v="351"/>
    <n v="2972"/>
    <s v="Industrial Equipments"/>
    <x v="0"/>
    <x v="0"/>
    <n v="776"/>
    <n v="1053"/>
    <s v="15TH ST / SANCHEZ ST"/>
    <s v="1700 Block of FULTON ST"/>
    <s v="DELIVERED"/>
    <d v="1977-01-03T00:00:00"/>
    <d v="1977-07-06T00:00:00"/>
    <s v="Heavy"/>
    <n v="184"/>
    <n v="0.73694207027540359"/>
  </r>
  <r>
    <n v="328"/>
    <n v="6153"/>
    <s v="Healthcare"/>
    <x v="0"/>
    <x v="1"/>
    <n v="710"/>
    <n v="1066"/>
    <s v="900 Block of ELLSWORTH ST"/>
    <s v="400 Block of 28TH ST"/>
    <s v="DELIVERED"/>
    <d v="1997-01-20T00:00:00"/>
    <d v="1997-09-08T00:00:00"/>
    <s v="Heavy"/>
    <n v="231"/>
    <n v="0.66604127579737338"/>
  </r>
  <r>
    <n v="242"/>
    <n v="4852"/>
    <s v="Construction"/>
    <x v="0"/>
    <x v="0"/>
    <n v="959"/>
    <n v="1253"/>
    <s v="600 Block of FRANCISCO ST"/>
    <s v="FELL ST / MASONIC AV"/>
    <s v="NOT DELIVERED"/>
    <d v="1996-12-09T00:00:00"/>
    <d v="1899-12-30T00:00:00"/>
    <s v="Heavy"/>
    <s v=""/>
    <n v="0.76536312849162014"/>
  </r>
  <r>
    <n v="421"/>
    <n v="8106"/>
    <s v="Automotive"/>
    <x v="1"/>
    <x v="0"/>
    <n v="147"/>
    <n v="535"/>
    <s v="800 Block of BRYANT ST"/>
    <s v="900 Block of RANDOLPH ST"/>
    <s v="DELIVERED"/>
    <d v="1999-02-07T00:00:00"/>
    <d v="1999-03-05T00:00:00"/>
    <s v="Light"/>
    <n v="26"/>
    <n v="0.27476635514018694"/>
  </r>
  <r>
    <n v="6"/>
    <n v="3917"/>
    <s v="Arts and crafts"/>
    <x v="1"/>
    <x v="1"/>
    <n v="613"/>
    <n v="1256"/>
    <s v="800 Block of BRYANT ST"/>
    <s v="0 Block of 6TH ST"/>
    <s v="DELIVERED"/>
    <d v="1977-03-08T00:00:00"/>
    <d v="1977-11-08T00:00:00"/>
    <s v="Heavy"/>
    <n v="245"/>
    <n v="0.48805732484076431"/>
  </r>
  <r>
    <n v="384"/>
    <n v="9377"/>
    <s v="Luggage"/>
    <x v="0"/>
    <x v="0"/>
    <n v="590"/>
    <n v="1033"/>
    <s v="ELLIS ST / LAGUNA ST"/>
    <s v="0 Block of HYDE ST"/>
    <s v="NOT DELIVERED"/>
    <d v="1972-02-21T00:00:00"/>
    <d v="1899-12-30T00:00:00"/>
    <s v="Heavy"/>
    <s v=""/>
    <n v="0.57115198451113258"/>
  </r>
  <r>
    <n v="286"/>
    <n v="5387"/>
    <s v="Electronics"/>
    <x v="0"/>
    <x v="0"/>
    <n v="193"/>
    <n v="817"/>
    <s v="100 Block of STEUART ST"/>
    <s v="900 Block of VALENCIA ST"/>
    <s v="DELIVERED"/>
    <d v="2005-06-06T00:00:00"/>
    <d v="2005-09-15T00:00:00"/>
    <s v="Light"/>
    <n v="101"/>
    <n v="0.23623011015911874"/>
  </r>
  <r>
    <n v="892"/>
    <n v="6513"/>
    <s v="Luggage"/>
    <x v="0"/>
    <x v="0"/>
    <n v="879"/>
    <n v="1037"/>
    <s v="700 Block of FOLSOM ST"/>
    <s v="300 Block of ARBALLO DR"/>
    <s v="DELIVERED"/>
    <d v="2019-11-17T00:00:00"/>
    <d v="2019-12-12T00:00:00"/>
    <s v="Heavy"/>
    <n v="25"/>
    <n v="0.84763741562198647"/>
  </r>
  <r>
    <n v="558"/>
    <n v="3965"/>
    <s v="Industrial Equipments"/>
    <x v="0"/>
    <x v="0"/>
    <n v="275"/>
    <n v="951"/>
    <s v="1600 Block of VANNESS AV"/>
    <s v="100 Block of PHELAN AV"/>
    <s v="DELIVERED"/>
    <d v="2013-10-27T00:00:00"/>
    <d v="2013-11-15T00:00:00"/>
    <s v="Light"/>
    <n v="19"/>
    <n v="0.28916929547844372"/>
  </r>
  <r>
    <n v="481"/>
    <n v="8893"/>
    <s v="Construction"/>
    <x v="1"/>
    <x v="0"/>
    <n v="319"/>
    <n v="770"/>
    <s v="800 Block of MARKET ST"/>
    <s v="0 Block of GORDON ST"/>
    <s v="NOT DELIVERED"/>
    <d v="2006-07-11T00:00:00"/>
    <d v="1899-12-30T00:00:00"/>
    <s v="Light"/>
    <s v=""/>
    <n v="0.41428571428571431"/>
  </r>
  <r>
    <n v="155"/>
    <n v="1897"/>
    <s v="Hazardous Goods"/>
    <x v="0"/>
    <x v="1"/>
    <n v="52"/>
    <n v="293"/>
    <s v="800 Block of BRYANT ST"/>
    <s v="600 Block of VALENCIA ST"/>
    <s v="NOT DELIVERED"/>
    <d v="2003-09-23T00:00:00"/>
    <d v="1899-12-30T00:00:00"/>
    <s v="Light"/>
    <s v=""/>
    <n v="0.17747440273037543"/>
  </r>
  <r>
    <n v="771"/>
    <n v="390"/>
    <s v="Electronics"/>
    <x v="0"/>
    <x v="0"/>
    <n v="702"/>
    <n v="1414"/>
    <s v="SHOTWELL ST / 17TH ST"/>
    <s v="EDDY ST / HYDE ST"/>
    <s v="DELIVERED"/>
    <d v="2013-05-03T00:00:00"/>
    <d v="2013-11-15T00:00:00"/>
    <s v="Heavy"/>
    <n v="196"/>
    <n v="0.49646393210749645"/>
  </r>
  <r>
    <n v="945"/>
    <n v="3633"/>
    <s v="Healthcare"/>
    <x v="0"/>
    <x v="1"/>
    <n v="299"/>
    <n v="524"/>
    <s v="1500 Block of BAKER ST"/>
    <s v="LIPPARD AV / BOSWORTH ST"/>
    <s v="DELIVERED"/>
    <d v="2001-04-29T00:00:00"/>
    <d v="2001-08-10T00:00:00"/>
    <s v="Light"/>
    <n v="103"/>
    <n v="0.57061068702290074"/>
  </r>
  <r>
    <n v="719"/>
    <n v="7828"/>
    <s v="Arts and crafts"/>
    <x v="0"/>
    <x v="0"/>
    <n v="930"/>
    <n v="1183"/>
    <s v="100 Block of BERRY ST"/>
    <s v="KERN ST / DIAMOND ST"/>
    <s v="DELIVERED"/>
    <d v="2006-01-22T00:00:00"/>
    <d v="2006-07-17T00:00:00"/>
    <s v="Heavy"/>
    <n v="176"/>
    <n v="0.78613693998309386"/>
  </r>
  <r>
    <n v="493"/>
    <n v="2241"/>
    <s v="Home Furnishing"/>
    <x v="0"/>
    <x v="0"/>
    <n v="314"/>
    <n v="566"/>
    <s v="700 Block of HOWARD ST"/>
    <s v="HARRISON ST / 3RD ST"/>
    <s v="NOT DELIVERED"/>
    <d v="1995-08-20T00:00:00"/>
    <d v="1899-12-30T00:00:00"/>
    <s v="Light"/>
    <s v=""/>
    <n v="0.55477031802120136"/>
  </r>
  <r>
    <n v="998"/>
    <n v="896"/>
    <s v="Hazardous Goods"/>
    <x v="1"/>
    <x v="1"/>
    <n v="109"/>
    <n v="961"/>
    <s v="0 Block of LEE AV"/>
    <s v="0 Block of FALLON PL"/>
    <s v="DELIVERED"/>
    <d v="2013-11-21T00:00:00"/>
    <d v="2013-11-15T00:00:00"/>
    <s v="Light"/>
    <n v="6"/>
    <n v="0.11342351716961499"/>
  </r>
  <r>
    <n v="968"/>
    <n v="6361"/>
    <s v="Food and Beverages"/>
    <x v="0"/>
    <x v="0"/>
    <n v="24"/>
    <n v="54"/>
    <s v="STOCKTON ST / BROADWAY ST"/>
    <s v="900 Block of GEARY ST"/>
    <s v="DELIVERED"/>
    <d v="1993-01-04T00:00:00"/>
    <d v="1993-08-02T00:00:00"/>
    <s v="Light"/>
    <n v="210"/>
    <n v="0.44444444444444442"/>
  </r>
  <r>
    <n v="738"/>
    <n v="6713"/>
    <s v="Electronics"/>
    <x v="0"/>
    <x v="1"/>
    <n v="545"/>
    <n v="1044"/>
    <s v="LAKE MERCED BL / BROTHERHOOD WAY"/>
    <s v="HARRISON ST / THE EMBARCADEROSOUTH ST"/>
    <s v="NOT DELIVERED"/>
    <d v="1977-09-19T00:00:00"/>
    <d v="1899-12-30T00:00:00"/>
    <s v="Heavy"/>
    <s v=""/>
    <n v="0.52203065134099613"/>
  </r>
  <r>
    <n v="912"/>
    <n v="4283"/>
    <s v="Fashion"/>
    <x v="1"/>
    <x v="0"/>
    <n v="505"/>
    <n v="1082"/>
    <s v="GEARY ST / POLK ST"/>
    <s v="1600 Block of LASALLE AV"/>
    <s v="NOT DELIVERED"/>
    <d v="2019-12-30T00:00:00"/>
    <d v="1899-12-30T00:00:00"/>
    <s v="Heavy"/>
    <s v=""/>
    <n v="0.46672828096118302"/>
  </r>
  <r>
    <n v="782"/>
    <n v="9486"/>
    <s v="Electronics"/>
    <x v="1"/>
    <x v="0"/>
    <n v="182"/>
    <n v="871"/>
    <s v="1400 Block of DOUGLASS ST"/>
    <s v="48TH AV / JUDAH ST"/>
    <s v="DELIVERED"/>
    <d v="2002-08-31T00:00:00"/>
    <d v="2002-10-20T00:00:00"/>
    <s v="Light"/>
    <n v="50"/>
    <n v="0.20895522388059701"/>
  </r>
  <r>
    <n v="140"/>
    <n v="308"/>
    <s v="Luggage"/>
    <x v="1"/>
    <x v="0"/>
    <n v="226"/>
    <n v="970"/>
    <s v="100 Block of FONT BL"/>
    <s v="1000 Block of KEY AV"/>
    <s v="DELIVERED"/>
    <d v="2006-06-10T00:00:00"/>
    <d v="2006-07-17T00:00:00"/>
    <s v="Light"/>
    <n v="37"/>
    <n v="0.23298969072164949"/>
  </r>
  <r>
    <n v="702"/>
    <n v="8927"/>
    <s v="Home Furnishing"/>
    <x v="1"/>
    <x v="0"/>
    <n v="111"/>
    <n v="617"/>
    <s v="HOLLOWAY AV / BRIGHTON AV"/>
    <s v="TAYLOR ST / GOLDEN GATE AV"/>
    <s v="DELIVERED"/>
    <d v="2004-07-07T00:00:00"/>
    <d v="2004-11-20T00:00:00"/>
    <s v="Light"/>
    <n v="136"/>
    <n v="0.17990275526742303"/>
  </r>
  <r>
    <n v="284"/>
    <n v="249"/>
    <s v="Hazardous Goods"/>
    <x v="1"/>
    <x v="1"/>
    <n v="145"/>
    <n v="814"/>
    <s v="1800 Block of KIRKHAM ST"/>
    <s v="800 Block of BRYANT ST"/>
    <s v="DELIVERED"/>
    <d v="1982-02-06T00:00:00"/>
    <d v="1982-03-08T00:00:00"/>
    <s v="Light"/>
    <n v="30"/>
    <n v="0.17813267813267813"/>
  </r>
  <r>
    <n v="199"/>
    <n v="2620"/>
    <s v="Electronics"/>
    <x v="0"/>
    <x v="0"/>
    <n v="829"/>
    <n v="1145"/>
    <s v="500 Block of TUNNEL AV"/>
    <s v="1600 Block of TURK ST"/>
    <s v="NOT DELIVERED"/>
    <d v="2007-07-27T00:00:00"/>
    <d v="1899-12-30T00:00:00"/>
    <s v="Heavy"/>
    <s v=""/>
    <n v="0.72401746724890825"/>
  </r>
  <r>
    <n v="228"/>
    <n v="1164"/>
    <s v="Electronics"/>
    <x v="0"/>
    <x v="0"/>
    <n v="269"/>
    <n v="902"/>
    <s v="800 Block of BRYANT ST"/>
    <s v="100 Block of SPEAR ST"/>
    <s v="DELIVERED"/>
    <d v="1994-03-30T00:00:00"/>
    <d v="1994-04-09T00:00:00"/>
    <s v="Light"/>
    <n v="10"/>
    <n v="0.29822616407982261"/>
  </r>
  <r>
    <n v="908"/>
    <n v="4711"/>
    <s v="Hazardous Goods"/>
    <x v="1"/>
    <x v="0"/>
    <n v="660"/>
    <n v="1470"/>
    <s v="200 Block of CHENERY ST"/>
    <s v="2900 Block of DIAMOND ST"/>
    <s v="NOT DELIVERED"/>
    <d v="1999-01-28T00:00:00"/>
    <d v="1899-12-30T00:00:00"/>
    <s v="Heavy"/>
    <s v=""/>
    <n v="0.44897959183673469"/>
  </r>
  <r>
    <n v="594"/>
    <n v="4053"/>
    <s v="Home Furnishing"/>
    <x v="0"/>
    <x v="0"/>
    <n v="484"/>
    <n v="568"/>
    <s v="1000 Block of POTRERO AV"/>
    <s v="400 Block of ROLPH ST"/>
    <s v="NOT DELIVERED"/>
    <d v="2004-03-20T00:00:00"/>
    <d v="1899-12-30T00:00:00"/>
    <s v="Light"/>
    <s v=""/>
    <n v="0.852112676056338"/>
  </r>
  <r>
    <n v="542"/>
    <n v="4272"/>
    <s v="Food and Beverages"/>
    <x v="1"/>
    <x v="0"/>
    <n v="100"/>
    <n v="487"/>
    <s v="100 Block of HYDE ST"/>
    <s v="BANCROFT AV / KEITH ST"/>
    <s v="NOT DELIVERED"/>
    <d v="1986-05-19T00:00:00"/>
    <d v="1899-12-30T00:00:00"/>
    <s v="Light"/>
    <s v=""/>
    <n v="0.20533880903490759"/>
  </r>
  <r>
    <n v="586"/>
    <n v="7005"/>
    <s v="Construction"/>
    <x v="0"/>
    <x v="1"/>
    <n v="711"/>
    <n v="1197"/>
    <s v="1100 Block of HUDSON AV"/>
    <s v="MYRTLE ST / LARKIN ST"/>
    <s v="NOT DELIVERED"/>
    <d v="1977-03-08T00:00:00"/>
    <d v="1899-12-30T00:00:00"/>
    <s v="Heavy"/>
    <s v=""/>
    <n v="0.59398496240601506"/>
  </r>
  <r>
    <n v="636"/>
    <n v="2308"/>
    <s v="Home Furnishing"/>
    <x v="1"/>
    <x v="0"/>
    <n v="325"/>
    <n v="994"/>
    <s v="STOCKTON ST / POST ST"/>
    <s v="500 Block of MAGELLAN AV"/>
    <s v="DELIVERED"/>
    <d v="2008-02-24T00:00:00"/>
    <d v="2008-08-09T00:00:00"/>
    <s v="Light"/>
    <n v="167"/>
    <n v="0.32696177062374243"/>
  </r>
  <r>
    <n v="581"/>
    <n v="5150"/>
    <s v="Automotive"/>
    <x v="0"/>
    <x v="0"/>
    <n v="209"/>
    <n v="933"/>
    <s v="LEAVENWORTH ST / TURK ST"/>
    <s v="1600 Block of 38TH AV"/>
    <s v="NOT DELIVERED"/>
    <d v="2017-11-24T00:00:00"/>
    <d v="1899-12-30T00:00:00"/>
    <s v="Light"/>
    <s v=""/>
    <n v="0.22400857449088959"/>
  </r>
  <r>
    <n v="336"/>
    <n v="693"/>
    <s v="Construction"/>
    <x v="1"/>
    <x v="1"/>
    <n v="996"/>
    <n v="1168"/>
    <s v="800 Block of BRYANT ST"/>
    <s v="3300 Block of MISSION ST"/>
    <s v="NOT DELIVERED"/>
    <d v="1972-10-09T00:00:00"/>
    <d v="1899-12-30T00:00:00"/>
    <s v="Heavy"/>
    <s v=""/>
    <n v="0.85273972602739723"/>
  </r>
  <r>
    <n v="504"/>
    <n v="9598"/>
    <s v="Luggage"/>
    <x v="1"/>
    <x v="0"/>
    <n v="420"/>
    <n v="561"/>
    <s v="4200 Block of 26TH ST"/>
    <s v="0 Block of TURK ST"/>
    <s v="DELIVERED"/>
    <d v="1982-07-11T00:00:00"/>
    <d v="1982-10-15T00:00:00"/>
    <s v="Light"/>
    <n v="96"/>
    <n v="0.74866310160427807"/>
  </r>
  <r>
    <n v="346"/>
    <n v="8103"/>
    <s v="Industrial Equipments"/>
    <x v="1"/>
    <x v="1"/>
    <n v="182"/>
    <n v="850"/>
    <s v="BLAKE ST / GEARY BL"/>
    <s v="BROADWAY ST / COLUMBUS AV"/>
    <s v="DELIVERED"/>
    <d v="2007-06-05T00:00:00"/>
    <d v="2007-07-12T00:00:00"/>
    <s v="Light"/>
    <n v="37"/>
    <n v="0.21411764705882352"/>
  </r>
  <r>
    <n v="135"/>
    <n v="8894"/>
    <s v="Construction"/>
    <x v="0"/>
    <x v="1"/>
    <n v="901"/>
    <n v="1393"/>
    <s v="WASHINGTON ST / DRUMM ST"/>
    <s v="1200 Block of PINE ST"/>
    <s v="NOT DELIVERED"/>
    <d v="2004-09-10T00:00:00"/>
    <d v="1899-12-30T00:00:00"/>
    <s v="Heavy"/>
    <s v=""/>
    <n v="0.64680545585068194"/>
  </r>
  <r>
    <n v="822"/>
    <n v="114"/>
    <s v="Construction"/>
    <x v="1"/>
    <x v="0"/>
    <n v="88"/>
    <n v="426"/>
    <s v="EXECUTIVEPARK BL / ALANA WY"/>
    <s v="900 Block of MISSION ST"/>
    <s v="DELIVERED"/>
    <d v="1991-06-30T00:00:00"/>
    <d v="1991-07-15T00:00:00"/>
    <s v="Light"/>
    <n v="15"/>
    <n v="0.20657276995305165"/>
  </r>
  <r>
    <n v="95"/>
    <n v="6546"/>
    <s v="Electronics"/>
    <x v="0"/>
    <x v="0"/>
    <n v="660"/>
    <n v="1208"/>
    <s v="0 Block of BROOKDALE AV"/>
    <s v="1300 Block of EGBERT AV"/>
    <s v="NOT DELIVERED"/>
    <d v="2013-04-11T00:00:00"/>
    <d v="1899-12-30T00:00:00"/>
    <s v="Heavy"/>
    <s v=""/>
    <n v="0.54635761589403975"/>
  </r>
  <r>
    <n v="597"/>
    <n v="3571"/>
    <s v="Luggage"/>
    <x v="0"/>
    <x v="0"/>
    <n v="267"/>
    <n v="925"/>
    <s v="3600 Block of 22ND ST"/>
    <s v="200 Block of NAGLEE AV"/>
    <s v="NOT DELIVERED"/>
    <d v="2010-07-26T00:00:00"/>
    <d v="1899-12-30T00:00:00"/>
    <s v="Light"/>
    <s v=""/>
    <n v="0.28864864864864864"/>
  </r>
  <r>
    <n v="340"/>
    <n v="7316"/>
    <s v="Fashion"/>
    <x v="1"/>
    <x v="1"/>
    <n v="905"/>
    <n v="1392"/>
    <s v="700 Block of 3RD ST"/>
    <s v="FRANCISCO ST / JONES ST"/>
    <s v="NOT DELIVERED"/>
    <d v="1981-11-03T00:00:00"/>
    <d v="1899-12-30T00:00:00"/>
    <s v="Heavy"/>
    <s v=""/>
    <n v="0.65014367816091956"/>
  </r>
  <r>
    <n v="905"/>
    <n v="2478"/>
    <s v="Luggage"/>
    <x v="0"/>
    <x v="1"/>
    <n v="799"/>
    <n v="1425"/>
    <s v="1700 Block of 25TH ST"/>
    <s v="1300 Block of BROADWAY ST"/>
    <s v="DELIVERED"/>
    <d v="1983-04-11T00:00:00"/>
    <d v="1983-09-30T00:00:00"/>
    <s v="Heavy"/>
    <n v="172"/>
    <n v="0.56070175438596492"/>
  </r>
  <r>
    <n v="250"/>
    <n v="1215"/>
    <s v="Construction"/>
    <x v="1"/>
    <x v="1"/>
    <n v="773"/>
    <n v="1225"/>
    <s v="1200 Block of POLK ST"/>
    <s v="1200 Block of MARKET ST"/>
    <s v="DELIVERED"/>
    <d v="2006-09-18T00:00:00"/>
    <d v="2006-10-22T00:00:00"/>
    <s v="Heavy"/>
    <n v="34"/>
    <n v="0.63102040816326532"/>
  </r>
  <r>
    <n v="400"/>
    <n v="5402"/>
    <s v="Luggage"/>
    <x v="0"/>
    <x v="1"/>
    <n v="78"/>
    <n v="403"/>
    <s v="EARL ST / LASALLE AV"/>
    <s v="1400 Block of KIRKWOOD CT"/>
    <s v="NOT DELIVERED"/>
    <d v="2003-01-07T00:00:00"/>
    <d v="1899-12-30T00:00:00"/>
    <s v="Light"/>
    <s v=""/>
    <n v="0.19354838709677419"/>
  </r>
  <r>
    <n v="877"/>
    <n v="1647"/>
    <s v="Industrial Equipments"/>
    <x v="0"/>
    <x v="1"/>
    <n v="791"/>
    <n v="1169"/>
    <s v="CLARA ST / 4TH ST"/>
    <s v="100 Block of ATOLL CR"/>
    <s v="DELIVERED"/>
    <d v="2000-01-25T00:00:00"/>
    <d v="2000-03-22T00:00:00"/>
    <s v="Heavy"/>
    <n v="57"/>
    <n v="0.67664670658682635"/>
  </r>
  <r>
    <n v="97"/>
    <n v="9423"/>
    <s v="Construction"/>
    <x v="0"/>
    <x v="1"/>
    <n v="603"/>
    <n v="1167"/>
    <s v="0 Block of STEINER ST"/>
    <s v="1100 Block of FRANCISCO ST"/>
    <s v="NOT DELIVERED"/>
    <d v="2011-05-25T00:00:00"/>
    <d v="1899-12-30T00:00:00"/>
    <s v="Heavy"/>
    <s v=""/>
    <n v="0.51670951156812339"/>
  </r>
  <r>
    <n v="12"/>
    <n v="6404"/>
    <s v="Construction"/>
    <x v="0"/>
    <x v="0"/>
    <n v="360"/>
    <n v="565"/>
    <s v="1800 Block of 8TH AV"/>
    <s v="JONES ST / GOLDEN GATE AV"/>
    <s v="NOT DELIVERED"/>
    <d v="2000-06-18T00:00:00"/>
    <d v="1899-12-30T00:00:00"/>
    <s v="Light"/>
    <s v=""/>
    <n v="0.63716814159292035"/>
  </r>
  <r>
    <n v="353"/>
    <n v="6767"/>
    <s v="Fashion"/>
    <x v="0"/>
    <x v="1"/>
    <n v="84"/>
    <n v="354"/>
    <s v="HARRISON ST / 11TH ST"/>
    <s v="BROADWAY ST / KEARNY ST"/>
    <s v="DELIVERED"/>
    <d v="2012-08-02T00:00:00"/>
    <d v="2012-10-04T00:00:00"/>
    <s v="Light"/>
    <n v="63"/>
    <n v="0.23728813559322035"/>
  </r>
  <r>
    <n v="856"/>
    <n v="1278"/>
    <s v="Automotive"/>
    <x v="0"/>
    <x v="0"/>
    <n v="880"/>
    <n v="1178"/>
    <s v="500 Block of HYDE ST"/>
    <s v="400 Block of CAPP ST"/>
    <s v="DELIVERED"/>
    <d v="1977-06-26T00:00:00"/>
    <d v="1977-11-08T00:00:00"/>
    <s v="Heavy"/>
    <n v="135"/>
    <n v="0.74702886247877764"/>
  </r>
  <r>
    <n v="1"/>
    <n v="1334"/>
    <s v="Arts and crafts"/>
    <x v="1"/>
    <x v="1"/>
    <n v="947"/>
    <n v="1385"/>
    <s v="LARKIN ST / ELLIS ST"/>
    <s v="2700 Block of DIAMOND ST"/>
    <s v="DELIVERED"/>
    <d v="2010-02-13T00:00:00"/>
    <d v="2010-11-30T00:00:00"/>
    <s v="Heavy"/>
    <n v="290"/>
    <n v="0.68375451263537901"/>
  </r>
  <r>
    <n v="390"/>
    <n v="8887"/>
    <s v="Automotive"/>
    <x v="0"/>
    <x v="0"/>
    <n v="234"/>
    <n v="780"/>
    <s v="6500 Block of 3RD ST"/>
    <s v="800 Block of 33RD AV"/>
    <s v="DELIVERED"/>
    <d v="2009-03-24T00:00:00"/>
    <d v="2009-03-09T00:00:00"/>
    <s v="Light"/>
    <n v="15"/>
    <n v="0.3"/>
  </r>
  <r>
    <n v="446"/>
    <n v="9858"/>
    <s v="Food and Beverages"/>
    <x v="0"/>
    <x v="1"/>
    <n v="931"/>
    <n v="1247"/>
    <s v="0 Block of WHITFIELD CT"/>
    <s v="1500 Block of POWELL ST"/>
    <s v="NOT DELIVERED"/>
    <d v="1993-04-25T00:00:00"/>
    <d v="1899-12-30T00:00:00"/>
    <s v="Heavy"/>
    <s v=""/>
    <n v="0.74659182036888527"/>
  </r>
  <r>
    <n v="32"/>
    <n v="9636"/>
    <s v="Arts and crafts"/>
    <x v="0"/>
    <x v="1"/>
    <n v="478"/>
    <n v="705"/>
    <s v="1100 Block of OCEAN AV"/>
    <s v="900 Block of DEHARO ST"/>
    <s v="NOT DELIVERED"/>
    <d v="2004-08-30T00:00:00"/>
    <d v="1899-12-30T00:00:00"/>
    <s v="Light"/>
    <s v=""/>
    <n v="0.6780141843971631"/>
  </r>
  <r>
    <n v="420"/>
    <n v="9943"/>
    <s v="Industrial Equipments"/>
    <x v="0"/>
    <x v="1"/>
    <n v="638"/>
    <n v="1130"/>
    <s v="BRYANT ST / 4TH ST"/>
    <s v="1300 Block of MISSION ST"/>
    <s v="NOT DELIVERED"/>
    <d v="1989-01-02T00:00:00"/>
    <d v="1899-12-30T00:00:00"/>
    <s v="Heavy"/>
    <s v=""/>
    <n v="0.56460176991150446"/>
  </r>
  <r>
    <n v="708"/>
    <n v="1246"/>
    <s v="Industrial Equipments"/>
    <x v="0"/>
    <x v="1"/>
    <n v="50"/>
    <n v="72"/>
    <s v="900 Block of CONNECTICUT ST"/>
    <s v="LEAVENWORTH ST / EDDY ST"/>
    <s v="DELIVERED"/>
    <d v="2019-02-19T00:00:00"/>
    <d v="2019-07-31T00:00:00"/>
    <s v="Light"/>
    <n v="162"/>
    <n v="0.69444444444444442"/>
  </r>
  <r>
    <n v="227"/>
    <n v="4527"/>
    <s v="Industrial Equipments"/>
    <x v="1"/>
    <x v="0"/>
    <n v="477"/>
    <n v="564"/>
    <s v="POLK ST / BEACH ST"/>
    <s v="700 Block of LARKIN ST"/>
    <s v="DELIVERED"/>
    <d v="2002-01-25T00:00:00"/>
    <d v="2002-01-05T00:00:00"/>
    <s v="Light"/>
    <n v="20"/>
    <n v="0.8457446808510638"/>
  </r>
  <r>
    <n v="595"/>
    <n v="3782"/>
    <s v="Fashion"/>
    <x v="1"/>
    <x v="0"/>
    <n v="879"/>
    <n v="1040"/>
    <s v="37TH AV / RIVERA ST"/>
    <s v="1200 Block of 36TH AV"/>
    <s v="NOT DELIVERED"/>
    <d v="2003-05-10T00:00:00"/>
    <d v="1899-12-30T00:00:00"/>
    <s v="Heavy"/>
    <s v=""/>
    <n v="0.84519230769230769"/>
  </r>
  <r>
    <n v="211"/>
    <n v="6225"/>
    <s v="Electronics"/>
    <x v="0"/>
    <x v="1"/>
    <n v="912"/>
    <n v="1220"/>
    <s v="FREMONT ST / HARRISON ST"/>
    <s v="0 Block of CRESTLAKE DR"/>
    <s v="DELIVERED"/>
    <d v="2006-03-17T00:00:00"/>
    <d v="2006-12-23T00:00:00"/>
    <s v="Heavy"/>
    <n v="281"/>
    <n v="0.74754098360655741"/>
  </r>
  <r>
    <n v="650"/>
    <n v="2257"/>
    <s v="Food and Beverages"/>
    <x v="1"/>
    <x v="0"/>
    <n v="868"/>
    <n v="1141"/>
    <s v="400 Block of GENEVA AV"/>
    <s v="POWELL ST / OFARRELL ST"/>
    <s v="NOT DELIVERED"/>
    <d v="2007-06-18T00:00:00"/>
    <d v="1899-12-30T00:00:00"/>
    <s v="Heavy"/>
    <s v=""/>
    <n v="0.76073619631901845"/>
  </r>
  <r>
    <n v="45"/>
    <n v="9177"/>
    <s v="Healthcare"/>
    <x v="0"/>
    <x v="1"/>
    <n v="889"/>
    <n v="1050"/>
    <s v="20TH ST / KANSAS ST"/>
    <s v="JEFFERSON ST / TAYLOR ST"/>
    <s v="DELIVERED"/>
    <d v="1996-03-03T00:00:00"/>
    <d v="1996-05-01T00:00:00"/>
    <s v="Heavy"/>
    <n v="59"/>
    <n v="0.84666666666666668"/>
  </r>
  <r>
    <n v="201"/>
    <n v="8703"/>
    <s v="Home Furnishing"/>
    <x v="0"/>
    <x v="0"/>
    <n v="482"/>
    <n v="850"/>
    <s v="4000 Block of 18TH ST"/>
    <s v="500 Block of ELLIS ST"/>
    <s v="NOT DELIVERED"/>
    <d v="1982-12-02T00:00:00"/>
    <d v="1899-12-30T00:00:00"/>
    <s v="Light"/>
    <s v=""/>
    <n v="0.56705882352941173"/>
  </r>
  <r>
    <n v="564"/>
    <n v="3514"/>
    <s v="Healthcare"/>
    <x v="1"/>
    <x v="1"/>
    <n v="683"/>
    <n v="1275"/>
    <s v="1400 Block of 14TH AV"/>
    <s v="1800 Block of DIVISADERO ST"/>
    <s v="DELIVERED"/>
    <d v="2004-05-02T00:00:00"/>
    <d v="2004-09-25T00:00:00"/>
    <s v="Heavy"/>
    <n v="146"/>
    <n v="0.53568627450980388"/>
  </r>
  <r>
    <n v="138"/>
    <n v="3089"/>
    <s v="Home Furnishing"/>
    <x v="0"/>
    <x v="0"/>
    <n v="382"/>
    <n v="714"/>
    <s v="200 Block of 2ND ST"/>
    <s v="0 Block of THRIFT ST"/>
    <s v="NOT DELIVERED"/>
    <d v="2008-02-22T00:00:00"/>
    <d v="1899-12-30T00:00:00"/>
    <s v="Light"/>
    <s v=""/>
    <n v="0.53501400560224088"/>
  </r>
  <r>
    <n v="57"/>
    <n v="7253"/>
    <s v="Construction"/>
    <x v="0"/>
    <x v="0"/>
    <n v="753"/>
    <n v="1027"/>
    <s v="2900 Block of TURK ST"/>
    <s v="300 Block of DEMONTFORT AV"/>
    <s v="DELIVERED"/>
    <d v="2004-03-18T00:00:00"/>
    <d v="2004-03-02T00:00:00"/>
    <s v="Heavy"/>
    <n v="16"/>
    <n v="0.73320350535540413"/>
  </r>
  <r>
    <n v="128"/>
    <n v="8786"/>
    <s v="Arts and crafts"/>
    <x v="1"/>
    <x v="1"/>
    <n v="718"/>
    <n v="1486"/>
    <s v="0 Block of 7TH ST"/>
    <s v="300 Block of 10TH ST"/>
    <s v="NOT DELIVERED"/>
    <d v="1992-03-22T00:00:00"/>
    <d v="1899-12-30T00:00:00"/>
    <s v="Heavy"/>
    <s v=""/>
    <n v="0.48317631224764468"/>
  </r>
  <r>
    <n v="33"/>
    <n v="1211"/>
    <s v="Industrial Equipments"/>
    <x v="0"/>
    <x v="1"/>
    <n v="577"/>
    <n v="1312"/>
    <s v="0 Block of CUMBERLAND ST"/>
    <s v="200 Block of POPLAR ST"/>
    <s v="NOT DELIVERED"/>
    <d v="1988-04-05T00:00:00"/>
    <d v="1899-12-30T00:00:00"/>
    <s v="Heavy"/>
    <s v=""/>
    <n v="0.43978658536585363"/>
  </r>
  <r>
    <n v="936"/>
    <n v="359"/>
    <s v="Electronics"/>
    <x v="1"/>
    <x v="1"/>
    <n v="607"/>
    <n v="1007"/>
    <s v="1100 Block of POLK ST"/>
    <s v="800 Block of OFARRELL ST"/>
    <s v="NOT DELIVERED"/>
    <d v="2013-02-09T00:00:00"/>
    <d v="1899-12-30T00:00:00"/>
    <s v="Heavy"/>
    <s v=""/>
    <n v="0.60278053624627603"/>
  </r>
  <r>
    <n v="762"/>
    <n v="2066"/>
    <s v="Automotive"/>
    <x v="1"/>
    <x v="0"/>
    <n v="242"/>
    <n v="926"/>
    <s v="16TH ST / UTAH ST"/>
    <s v="400 Block of CASTRO ST"/>
    <s v="NOT DELIVERED"/>
    <d v="1978-03-21T00:00:00"/>
    <d v="1899-12-30T00:00:00"/>
    <s v="Light"/>
    <s v=""/>
    <n v="0.26133909287257018"/>
  </r>
  <r>
    <n v="838"/>
    <n v="4322"/>
    <s v="Industrial Equipments"/>
    <x v="1"/>
    <x v="1"/>
    <n v="593"/>
    <n v="1036"/>
    <s v="100 Block of GOLDEN GATE AV"/>
    <s v="800 Block of MISSION ST"/>
    <s v="DELIVERED"/>
    <d v="1995-01-05T00:00:00"/>
    <d v="1995-08-23T00:00:00"/>
    <s v="Heavy"/>
    <n v="230"/>
    <n v="0.57239382239382242"/>
  </r>
  <r>
    <n v="215"/>
    <n v="7773"/>
    <s v="Electronics"/>
    <x v="0"/>
    <x v="1"/>
    <n v="812"/>
    <n v="1161"/>
    <s v="1500 Block of POLK ST"/>
    <s v="600 Block of KANSAS ST"/>
    <s v="DELIVERED"/>
    <d v="1985-01-10T00:00:00"/>
    <d v="1985-01-31T00:00:00"/>
    <s v="Heavy"/>
    <n v="21"/>
    <n v="0.69939707149009478"/>
  </r>
  <r>
    <n v="818"/>
    <n v="6746"/>
    <s v="Hazardous Goods"/>
    <x v="0"/>
    <x v="1"/>
    <n v="833"/>
    <n v="1016"/>
    <s v="POLK ST / SUTTER ST"/>
    <s v="1200 Block of NOE ST"/>
    <s v="DELIVERED"/>
    <d v="2006-08-28T00:00:00"/>
    <d v="2006-10-20T00:00:00"/>
    <s v="Heavy"/>
    <n v="53"/>
    <n v="0.81988188976377951"/>
  </r>
  <r>
    <n v="780"/>
    <n v="6732"/>
    <s v="Healthcare"/>
    <x v="1"/>
    <x v="1"/>
    <n v="872"/>
    <n v="1058"/>
    <s v="100 Block of BREWSTER ST"/>
    <s v="900 Block of MARKET ST"/>
    <s v="DELIVERED"/>
    <d v="1989-10-12T00:00:00"/>
    <d v="1989-10-17T00:00:00"/>
    <s v="Heavy"/>
    <n v="5"/>
    <n v="0.82419659735349715"/>
  </r>
  <r>
    <n v="40"/>
    <n v="805"/>
    <s v="Arts and crafts"/>
    <x v="0"/>
    <x v="0"/>
    <n v="483"/>
    <n v="648"/>
    <s v="0 Block of TURK ST"/>
    <s v="900 Block of CAPITOL AV"/>
    <s v="NOT DELIVERED"/>
    <d v="1980-05-03T00:00:00"/>
    <d v="1899-12-30T00:00:00"/>
    <s v="Light"/>
    <s v=""/>
    <n v="0.74537037037037035"/>
  </r>
  <r>
    <n v="366"/>
    <n v="7540"/>
    <s v="Fashion"/>
    <x v="1"/>
    <x v="0"/>
    <n v="679"/>
    <n v="1015"/>
    <s v="1700 Block of SUNNYDALE AV"/>
    <s v="400 Block of BAKER ST"/>
    <s v="DELIVERED"/>
    <d v="1980-03-01T00:00:00"/>
    <d v="1980-03-16T00:00:00"/>
    <s v="Heavy"/>
    <n v="15"/>
    <n v="0.66896551724137931"/>
  </r>
  <r>
    <n v="678"/>
    <n v="5269"/>
    <s v="Hazardous Goods"/>
    <x v="1"/>
    <x v="1"/>
    <n v="318"/>
    <n v="938"/>
    <s v="SOUTH VAN NESS AV / 13TH ST"/>
    <s v="100 Block of LELAND AV"/>
    <s v="NOT DELIVERED"/>
    <d v="1994-01-15T00:00:00"/>
    <d v="1899-12-30T00:00:00"/>
    <s v="Light"/>
    <s v=""/>
    <n v="0.33901918976545842"/>
  </r>
  <r>
    <n v="703"/>
    <n v="8404"/>
    <s v="Home Furnishing"/>
    <x v="0"/>
    <x v="1"/>
    <n v="329"/>
    <n v="597"/>
    <s v="22ND ST / CAROLINA ST"/>
    <s v="2600 Block of FOLSOM ST"/>
    <s v="NOT DELIVERED"/>
    <d v="2017-01-25T00:00:00"/>
    <d v="1899-12-30T00:00:00"/>
    <s v="Light"/>
    <s v=""/>
    <n v="0.5510887772194305"/>
  </r>
  <r>
    <n v="180"/>
    <n v="519"/>
    <s v="Luggage"/>
    <x v="0"/>
    <x v="0"/>
    <n v="588"/>
    <n v="1182"/>
    <s v="POWELL ST / GEARY ST"/>
    <s v="3RD ST / PALOU AV"/>
    <s v="NOT DELIVERED"/>
    <d v="1975-04-01T00:00:00"/>
    <d v="1899-12-30T00:00:00"/>
    <s v="Heavy"/>
    <s v=""/>
    <n v="0.49746192893401014"/>
  </r>
  <r>
    <n v="214"/>
    <n v="4060"/>
    <s v="Food and Beverages"/>
    <x v="1"/>
    <x v="0"/>
    <n v="442"/>
    <n v="713"/>
    <s v="2500 Block of MISSION ST"/>
    <s v="2600 Block of 34TH AV"/>
    <s v="DELIVERED"/>
    <d v="1987-03-06T00:00:00"/>
    <d v="1987-08-09T00:00:00"/>
    <s v="Light"/>
    <n v="156"/>
    <n v="0.61991584852734927"/>
  </r>
  <r>
    <n v="408"/>
    <n v="8860"/>
    <s v="Hazardous Goods"/>
    <x v="0"/>
    <x v="1"/>
    <n v="216"/>
    <n v="939"/>
    <s v="600 Block of VALENCIA ST"/>
    <s v="500 Block of 9TH ST"/>
    <s v="DELIVERED"/>
    <d v="1990-02-21T00:00:00"/>
    <d v="1990-09-11T00:00:00"/>
    <s v="Light"/>
    <n v="202"/>
    <n v="0.23003194888178913"/>
  </r>
  <r>
    <n v="902"/>
    <n v="7164"/>
    <s v="Construction"/>
    <x v="0"/>
    <x v="1"/>
    <n v="946"/>
    <n v="1082"/>
    <s v="300 Block of OFARRELL ST"/>
    <s v="0 Block of RAE AV"/>
    <s v="DELIVERED"/>
    <d v="1989-01-06T00:00:00"/>
    <d v="1989-09-17T00:00:00"/>
    <s v="Heavy"/>
    <n v="254"/>
    <n v="0.87430683918669128"/>
  </r>
  <r>
    <n v="763"/>
    <n v="9792"/>
    <s v="Luggage"/>
    <x v="1"/>
    <x v="1"/>
    <n v="796"/>
    <n v="1347"/>
    <s v="1700 Block of FULTON ST"/>
    <s v="100 Block of GOLDEN GATE AV"/>
    <s v="DELIVERED"/>
    <d v="2014-06-29T00:00:00"/>
    <d v="2014-09-09T00:00:00"/>
    <s v="Heavy"/>
    <n v="72"/>
    <n v="0.59094283593170005"/>
  </r>
  <r>
    <n v="168"/>
    <n v="9934"/>
    <s v="Arts and crafts"/>
    <x v="0"/>
    <x v="0"/>
    <n v="26"/>
    <n v="47"/>
    <s v="DIVISADERO ST / JACKSON ST"/>
    <s v="0 Block of DESOTO ST"/>
    <s v="DELIVERED"/>
    <d v="1997-01-05T00:00:00"/>
    <d v="1997-06-12T00:00:00"/>
    <s v="Light"/>
    <n v="158"/>
    <n v="0.55319148936170215"/>
  </r>
  <r>
    <n v="723"/>
    <n v="1980"/>
    <s v="Automotive"/>
    <x v="0"/>
    <x v="1"/>
    <n v="490"/>
    <n v="762"/>
    <s v="SILLIMAN ST / BOWDOIN ST"/>
    <s v="200 Block of LEAVENWORTH ST"/>
    <s v="NOT DELIVERED"/>
    <d v="1981-07-23T00:00:00"/>
    <d v="1899-12-30T00:00:00"/>
    <s v="Light"/>
    <s v=""/>
    <n v="0.64304461942257218"/>
  </r>
  <r>
    <n v="438"/>
    <n v="9251"/>
    <s v="Home Furnishing"/>
    <x v="0"/>
    <x v="0"/>
    <n v="430"/>
    <n v="642"/>
    <s v="2300 Block of CHESTNUT ST"/>
    <s v="LAKE MERCED BL / SUNSET BL"/>
    <s v="DELIVERED"/>
    <d v="1977-03-26T00:00:00"/>
    <d v="1977-03-30T00:00:00"/>
    <s v="Light"/>
    <n v="4"/>
    <n v="0.66978193146417442"/>
  </r>
  <r>
    <n v="162"/>
    <n v="6717"/>
    <s v="Arts and crafts"/>
    <x v="0"/>
    <x v="1"/>
    <n v="209"/>
    <n v="665"/>
    <s v="500 Block of VALENCIA ST"/>
    <s v="6TH ST / STEVENSON ST"/>
    <s v="DELIVERED"/>
    <d v="1982-06-10T00:00:00"/>
    <d v="1982-10-29T00:00:00"/>
    <s v="Light"/>
    <n v="141"/>
    <n v="0.31428571428571428"/>
  </r>
  <r>
    <n v="246"/>
    <n v="3622"/>
    <s v="Automotive"/>
    <x v="1"/>
    <x v="1"/>
    <n v="379"/>
    <n v="963"/>
    <s v="800 Block of 47TH AV"/>
    <s v="0 Block of LURLINE ST"/>
    <s v="DELIVERED"/>
    <d v="2019-03-03T00:00:00"/>
    <d v="2019-03-01T00:00:00"/>
    <s v="Light"/>
    <n v="2"/>
    <n v="0.39356178608515058"/>
  </r>
  <r>
    <n v="105"/>
    <n v="8808"/>
    <s v="Industrial Equipments"/>
    <x v="0"/>
    <x v="0"/>
    <n v="949"/>
    <n v="1419"/>
    <s v="KEITH ST / THOMAS AV"/>
    <s v="100 Block of CAPP ST"/>
    <s v="NOT DELIVERED"/>
    <d v="1997-08-27T00:00:00"/>
    <d v="1899-12-30T00:00:00"/>
    <s v="Heavy"/>
    <s v=""/>
    <n v="0.66878083157152923"/>
  </r>
  <r>
    <n v="308"/>
    <n v="4920"/>
    <s v="Electronics"/>
    <x v="0"/>
    <x v="1"/>
    <n v="438"/>
    <n v="656"/>
    <s v="LYON ST / OFARRELL ST"/>
    <s v="1200 Block of NOE ST"/>
    <s v="NOT DELIVERED"/>
    <d v="1979-01-28T00:00:00"/>
    <d v="1899-12-30T00:00:00"/>
    <s v="Light"/>
    <s v=""/>
    <n v="0.66768292682926833"/>
  </r>
  <r>
    <n v="172"/>
    <n v="3140"/>
    <s v="Food and Beverages"/>
    <x v="1"/>
    <x v="1"/>
    <n v="726"/>
    <n v="1381"/>
    <s v="0 Block of HARRISON ST"/>
    <s v="1200 Block of GOLDEN GATE AV"/>
    <s v="DELIVERED"/>
    <d v="2004-10-29T00:00:00"/>
    <d v="2004-10-26T00:00:00"/>
    <s v="Heavy"/>
    <n v="3"/>
    <n v="0.52570601013758145"/>
  </r>
  <r>
    <n v="775"/>
    <n v="8104"/>
    <s v="Home Furnishing"/>
    <x v="0"/>
    <x v="1"/>
    <n v="451"/>
    <n v="713"/>
    <s v="0 Block of 6TH ST"/>
    <s v="1400 Block of RANKIN ST"/>
    <s v="NOT DELIVERED"/>
    <d v="2004-09-28T00:00:00"/>
    <d v="1899-12-30T00:00:00"/>
    <s v="Light"/>
    <s v=""/>
    <n v="0.63253856942496489"/>
  </r>
  <r>
    <n v="333"/>
    <n v="2208"/>
    <s v="Luggage"/>
    <x v="0"/>
    <x v="0"/>
    <n v="812"/>
    <n v="1104"/>
    <s v="1800 Block of DONNER AV"/>
    <s v="19TH AV / LINCOLN WY"/>
    <s v="DELIVERED"/>
    <d v="2013-01-12T00:00:00"/>
    <d v="2013-08-11T00:00:00"/>
    <s v="Heavy"/>
    <n v="211"/>
    <n v="0.73550724637681164"/>
  </r>
  <r>
    <n v="548"/>
    <n v="7043"/>
    <s v="Healthcare"/>
    <x v="1"/>
    <x v="0"/>
    <n v="240"/>
    <n v="571"/>
    <s v="800 Block of INGERSON AV"/>
    <s v="MISSION ST / 2ND ST"/>
    <s v="NOT DELIVERED"/>
    <d v="2012-06-17T00:00:00"/>
    <d v="1899-12-30T00:00:00"/>
    <s v="Light"/>
    <s v=""/>
    <n v="0.42031523642732049"/>
  </r>
  <r>
    <n v="665"/>
    <n v="7485"/>
    <s v="Arts and crafts"/>
    <x v="0"/>
    <x v="0"/>
    <n v="982"/>
    <n v="1405"/>
    <s v="1300 Block of REVERE AV"/>
    <s v="0 Block of WILLIAR AV"/>
    <s v="DELIVERED"/>
    <d v="2010-01-12T00:00:00"/>
    <d v="2010-04-27T00:00:00"/>
    <s v="Heavy"/>
    <n v="105"/>
    <n v="0.69893238434163696"/>
  </r>
  <r>
    <n v="305"/>
    <n v="1748"/>
    <s v="Automotive"/>
    <x v="0"/>
    <x v="1"/>
    <n v="954"/>
    <n v="1473"/>
    <s v="0 Block of DORE ST"/>
    <s v="100 Block of TURK ST"/>
    <s v="DELIVERED"/>
    <d v="1992-08-11T00:00:00"/>
    <d v="1992-11-01T00:00:00"/>
    <s v="Heavy"/>
    <n v="82"/>
    <n v="0.64765784114052949"/>
  </r>
  <r>
    <n v="938"/>
    <n v="9968"/>
    <s v="Hazardous Goods"/>
    <x v="0"/>
    <x v="0"/>
    <n v="35"/>
    <n v="20"/>
    <s v="1200 Block of THE EMBARCADERONORTH ST"/>
    <s v="500 Block of BRANNAN ST"/>
    <s v="NOT DELIVERED"/>
    <d v="2018-12-21T00:00:00"/>
    <d v="1899-12-30T00:00:00"/>
    <s v="Light"/>
    <s v=""/>
    <n v="1.75"/>
  </r>
  <r>
    <n v="714"/>
    <n v="5330"/>
    <s v="Electronics"/>
    <x v="0"/>
    <x v="1"/>
    <n v="148"/>
    <n v="835"/>
    <s v="PIERCE ST / LOMBARD ST"/>
    <s v="8TH AV / CLEMENT ST"/>
    <s v="DELIVERED"/>
    <d v="2011-04-22T00:00:00"/>
    <d v="2011-06-08T00:00:00"/>
    <s v="Light"/>
    <n v="47"/>
    <n v="0.17724550898203592"/>
  </r>
  <r>
    <n v="251"/>
    <n v="2183"/>
    <s v="Food and Beverages"/>
    <x v="1"/>
    <x v="0"/>
    <n v="422"/>
    <n v="651"/>
    <s v="1700 Block of NEWCOMB AV"/>
    <s v="1500 Block of LASALLE AV"/>
    <s v="DELIVERED"/>
    <d v="2003-10-25T00:00:00"/>
    <d v="2003-12-02T00:00:00"/>
    <s v="Light"/>
    <n v="38"/>
    <n v="0.64823348694316441"/>
  </r>
  <r>
    <n v="330"/>
    <n v="2182"/>
    <s v="Home Furnishing"/>
    <x v="0"/>
    <x v="1"/>
    <n v="275"/>
    <n v="653"/>
    <s v="2300 Block of 25TH AV"/>
    <s v="HOLLYPARK CR / MURRAY ST"/>
    <s v="NOT DELIVERED"/>
    <d v="2012-02-08T00:00:00"/>
    <d v="1899-12-30T00:00:00"/>
    <s v="Light"/>
    <s v=""/>
    <n v="0.42113323124042878"/>
  </r>
  <r>
    <n v="69"/>
    <n v="1087"/>
    <s v="Healthcare"/>
    <x v="0"/>
    <x v="0"/>
    <n v="367"/>
    <n v="740"/>
    <s v="2000 Block of MISSION ST"/>
    <s v="2400 Block of SAN BRUNO AV"/>
    <s v="DELIVERED"/>
    <d v="2018-03-14T00:00:00"/>
    <d v="2018-08-30T00:00:00"/>
    <s v="Light"/>
    <n v="169"/>
    <n v="0.49594594594594593"/>
  </r>
  <r>
    <n v="969"/>
    <n v="4296"/>
    <s v="Industrial Equipments"/>
    <x v="1"/>
    <x v="1"/>
    <n v="507"/>
    <n v="1334"/>
    <s v="1100 Block of CONNECTICUT ST"/>
    <s v="1700 Block of 22ND AV"/>
    <s v="DELIVERED"/>
    <d v="2013-03-19T00:00:00"/>
    <d v="2013-03-09T00:00:00"/>
    <s v="Heavy"/>
    <n v="10"/>
    <n v="0.38005997001499248"/>
  </r>
  <r>
    <n v="974"/>
    <n v="9784"/>
    <s v="Automotive"/>
    <x v="1"/>
    <x v="0"/>
    <n v="442"/>
    <n v="770"/>
    <s v="1000 Block of POTRERO AV"/>
    <s v="0 Block of LEAVENWORTH ST"/>
    <s v="DELIVERED"/>
    <d v="2013-04-23T00:00:00"/>
    <d v="2013-06-21T00:00:00"/>
    <s v="Light"/>
    <n v="59"/>
    <n v="0.574025974025974"/>
  </r>
  <r>
    <n v="526"/>
    <n v="6210"/>
    <s v="Arts and crafts"/>
    <x v="1"/>
    <x v="0"/>
    <n v="510"/>
    <n v="1205"/>
    <s v="500 Block of 41ST AV"/>
    <s v="500 Block of GUERRERO ST"/>
    <s v="DELIVERED"/>
    <d v="1991-02-10T00:00:00"/>
    <d v="1991-07-03T00:00:00"/>
    <s v="Heavy"/>
    <n v="143"/>
    <n v="0.42323651452282157"/>
  </r>
  <r>
    <n v="510"/>
    <n v="5781"/>
    <s v="Fashion"/>
    <x v="1"/>
    <x v="0"/>
    <n v="117"/>
    <n v="716"/>
    <s v="700 Block of MARKET ST"/>
    <s v="ELLIS ST / HYDE ST"/>
    <s v="NOT DELIVERED"/>
    <d v="1976-10-04T00:00:00"/>
    <d v="1899-12-30T00:00:00"/>
    <s v="Light"/>
    <s v=""/>
    <n v="0.16340782122905029"/>
  </r>
  <r>
    <n v="444"/>
    <n v="8306"/>
    <s v="Construction"/>
    <x v="0"/>
    <x v="1"/>
    <n v="973"/>
    <n v="1250"/>
    <s v="0 Block of CASTLEMANOR AV"/>
    <s v="LANE ST / REVERE AV"/>
    <s v="NOT DELIVERED"/>
    <d v="1987-10-25T00:00:00"/>
    <d v="1899-12-30T00:00:00"/>
    <s v="Heavy"/>
    <s v=""/>
    <n v="0.77839999999999998"/>
  </r>
  <r>
    <n v="503"/>
    <n v="3270"/>
    <s v="Food and Beverages"/>
    <x v="0"/>
    <x v="0"/>
    <n v="243"/>
    <n v="935"/>
    <s v="GEARY ST / HYDE ST"/>
    <s v="1200 Block of MARKET ST"/>
    <s v="DELIVERED"/>
    <d v="1974-03-26T00:00:00"/>
    <d v="1974-05-25T00:00:00"/>
    <s v="Light"/>
    <n v="60"/>
    <n v="0.25989304812834224"/>
  </r>
  <r>
    <n v="109"/>
    <n v="6787"/>
    <s v="Luggage"/>
    <x v="0"/>
    <x v="1"/>
    <n v="715"/>
    <n v="1185"/>
    <s v="2000 Block of MISSION ST"/>
    <s v="500 Block of 39TH AV"/>
    <s v="NOT DELIVERED"/>
    <d v="2014-05-18T00:00:00"/>
    <d v="1899-12-30T00:00:00"/>
    <s v="Heavy"/>
    <s v=""/>
    <n v="0.6033755274261603"/>
  </r>
  <r>
    <n v="823"/>
    <n v="3733"/>
    <s v="Healthcare"/>
    <x v="0"/>
    <x v="1"/>
    <n v="571"/>
    <n v="1031"/>
    <s v="700 Block of STANYAN ST"/>
    <s v="600 Block of MISSION ST"/>
    <s v="DELIVERED"/>
    <d v="1975-05-18T00:00:00"/>
    <d v="1975-05-20T00:00:00"/>
    <s v="Heavy"/>
    <n v="2"/>
    <n v="0.55383123181377303"/>
  </r>
  <r>
    <n v="147"/>
    <n v="207"/>
    <s v="Industrial Equipments"/>
    <x v="0"/>
    <x v="1"/>
    <n v="369"/>
    <n v="646"/>
    <s v="300 Block of ATHENS ST"/>
    <s v="1400 Block of CLAY ST"/>
    <s v="DELIVERED"/>
    <d v="2005-03-20T00:00:00"/>
    <d v="2005-09-15T00:00:00"/>
    <s v="Light"/>
    <n v="179"/>
    <n v="0.57120743034055732"/>
  </r>
  <r>
    <n v="625"/>
    <n v="3"/>
    <s v="Industrial Equipments"/>
    <x v="1"/>
    <x v="0"/>
    <n v="318"/>
    <n v="980"/>
    <s v="5600 Block of DIAMONDHEIGHTS BL"/>
    <s v="100 Block of ELLIOT ST"/>
    <s v="NOT DELIVERED"/>
    <d v="2018-10-03T00:00:00"/>
    <d v="1899-12-30T00:00:00"/>
    <s v="Light"/>
    <s v=""/>
    <n v="0.32448979591836735"/>
  </r>
  <r>
    <n v="695"/>
    <n v="1896"/>
    <s v="Food and Beverages"/>
    <x v="0"/>
    <x v="0"/>
    <n v="266"/>
    <n v="833"/>
    <s v="2000 Block of MISSION ST"/>
    <s v="4600 Block of IRVING ST"/>
    <s v="NOT DELIVERED"/>
    <d v="2013-09-25T00:00:00"/>
    <d v="1899-12-30T00:00:00"/>
    <s v="Light"/>
    <s v=""/>
    <n v="0.31932773109243695"/>
  </r>
  <r>
    <n v="983"/>
    <n v="9631"/>
    <s v="Home Furnishing"/>
    <x v="1"/>
    <x v="0"/>
    <n v="60"/>
    <n v="166"/>
    <s v="200 Block of TURK ST"/>
    <s v="0 Block of ANKENY ST"/>
    <s v="NOT DELIVERED"/>
    <d v="1993-07-09T00:00:00"/>
    <d v="1899-12-30T00:00:00"/>
    <s v="Light"/>
    <s v=""/>
    <n v="0.36144578313253012"/>
  </r>
  <r>
    <n v="82"/>
    <n v="3132"/>
    <s v="Luggage"/>
    <x v="1"/>
    <x v="1"/>
    <n v="121"/>
    <n v="557"/>
    <s v="NATOMA ST / 2ND ST"/>
    <s v="3500 Block of MISSION ST"/>
    <s v="NOT DELIVERED"/>
    <d v="1997-05-29T00:00:00"/>
    <d v="1899-12-30T00:00:00"/>
    <s v="Light"/>
    <s v=""/>
    <n v="0.21723518850987433"/>
  </r>
  <r>
    <n v="397"/>
    <n v="1202"/>
    <s v="Automotive"/>
    <x v="1"/>
    <x v="1"/>
    <n v="876"/>
    <n v="1045"/>
    <s v="1600 Block of DONNER AV"/>
    <s v="800 Block of LARKIN ST"/>
    <s v="NOT DELIVERED"/>
    <d v="2004-02-29T00:00:00"/>
    <d v="1899-12-30T00:00:00"/>
    <s v="Heavy"/>
    <s v=""/>
    <n v="0.83827751196172251"/>
  </r>
  <r>
    <n v="599"/>
    <n v="8834"/>
    <s v="Industrial Equipments"/>
    <x v="0"/>
    <x v="0"/>
    <n v="946"/>
    <n v="1100"/>
    <s v="400 Block of ELLIS ST"/>
    <s v="800 Block of MOSCOW ST"/>
    <s v="NOT DELIVERED"/>
    <d v="2001-08-31T00:00:00"/>
    <d v="1899-12-30T00:00:00"/>
    <s v="Heavy"/>
    <s v=""/>
    <n v="0.86"/>
  </r>
  <r>
    <n v="306"/>
    <n v="1201"/>
    <s v="Hazardous Goods"/>
    <x v="0"/>
    <x v="0"/>
    <n v="654"/>
    <n v="1150"/>
    <s v="100 Block of LEAVENWORTH ST"/>
    <s v="100 Block of PERSIA AV"/>
    <s v="DELIVERED"/>
    <d v="1983-01-28T00:00:00"/>
    <d v="1983-07-22T00:00:00"/>
    <s v="Heavy"/>
    <n v="175"/>
    <n v="0.56869565217391305"/>
  </r>
  <r>
    <n v="536"/>
    <n v="2573"/>
    <s v="Construction"/>
    <x v="0"/>
    <x v="1"/>
    <n v="74"/>
    <n v="281"/>
    <s v="100 Block of POWELL ST"/>
    <s v="0 Block of TAYLOR ST"/>
    <s v="DELIVERED"/>
    <d v="2016-09-23T00:00:00"/>
    <d v="2016-09-21T00:00:00"/>
    <s v="Light"/>
    <n v="2"/>
    <n v="0.26334519572953735"/>
  </r>
  <r>
    <n v="20"/>
    <n v="6759"/>
    <s v="Construction"/>
    <x v="0"/>
    <x v="0"/>
    <n v="630"/>
    <n v="1062"/>
    <s v="1600 Block of 39TH AV"/>
    <s v="PARNASSUS AV / CLAYTON ST"/>
    <s v="NOT DELIVERED"/>
    <d v="2017-09-29T00:00:00"/>
    <d v="1899-12-30T00:00:00"/>
    <s v="Heavy"/>
    <s v=""/>
    <n v="0.59322033898305082"/>
  </r>
  <r>
    <n v="515"/>
    <n v="2601"/>
    <s v="Healthcare"/>
    <x v="0"/>
    <x v="1"/>
    <n v="782"/>
    <n v="1425"/>
    <s v="MARKET ST / CHURCH ST"/>
    <s v="LOMBARD ST / LEAVENWORTH ST"/>
    <s v="NOT DELIVERED"/>
    <d v="1996-01-01T00:00:00"/>
    <d v="1899-12-30T00:00:00"/>
    <s v="Heavy"/>
    <s v=""/>
    <n v="0.54877192982456136"/>
  </r>
  <r>
    <n v="332"/>
    <n v="2656"/>
    <s v="Luggage"/>
    <x v="1"/>
    <x v="0"/>
    <n v="45"/>
    <n v="39"/>
    <s v="100 Block of UPPER TR"/>
    <s v="POST ST / HYDE ST"/>
    <s v="NOT DELIVERED"/>
    <d v="2008-09-14T00:00:00"/>
    <d v="1899-12-30T00:00:00"/>
    <s v="Light"/>
    <s v=""/>
    <n v="1.1538461538461537"/>
  </r>
  <r>
    <n v="127"/>
    <n v="9645"/>
    <s v="Luggage"/>
    <x v="1"/>
    <x v="1"/>
    <n v="916"/>
    <n v="1143"/>
    <s v="300 Block of SALINAS AV"/>
    <s v="1900 Block of FILLMORE ST"/>
    <s v="DELIVERED"/>
    <d v="2006-01-08T00:00:00"/>
    <d v="2006-01-09T00:00:00"/>
    <s v="Heavy"/>
    <n v="1"/>
    <n v="0.80139982502187224"/>
  </r>
  <r>
    <n v="958"/>
    <n v="584"/>
    <s v="Hazardous Goods"/>
    <x v="1"/>
    <x v="1"/>
    <n v="274"/>
    <n v="669"/>
    <s v="0 Block of GOLDEN GATE AV"/>
    <s v="900 Block of MARIPOSA ST"/>
    <s v="NOT DELIVERED"/>
    <d v="2016-02-24T00:00:00"/>
    <d v="1899-12-30T00:00:00"/>
    <s v="Light"/>
    <s v=""/>
    <n v="0.40956651718983555"/>
  </r>
  <r>
    <n v="42"/>
    <n v="2121"/>
    <s v="Arts and crafts"/>
    <x v="0"/>
    <x v="0"/>
    <n v="987"/>
    <n v="1134"/>
    <s v="MINNA ST / 5TH ST"/>
    <s v="MARKET ST / 5TH ST"/>
    <s v="DELIVERED"/>
    <d v="1979-01-20T00:00:00"/>
    <d v="1979-09-12T00:00:00"/>
    <s v="Heavy"/>
    <n v="235"/>
    <n v="0.87037037037037035"/>
  </r>
  <r>
    <n v="977"/>
    <n v="2142"/>
    <s v="Arts and crafts"/>
    <x v="1"/>
    <x v="0"/>
    <n v="434"/>
    <n v="558"/>
    <s v="200 Block of MISSOURI ST"/>
    <s v="900 Block of ELLSWORTH ST"/>
    <s v="DELIVERED"/>
    <d v="2002-02-03T00:00:00"/>
    <d v="2002-10-20T00:00:00"/>
    <s v="Light"/>
    <n v="259"/>
    <n v="0.77777777777777779"/>
  </r>
  <r>
    <n v="460"/>
    <n v="2396"/>
    <s v="Electronics"/>
    <x v="1"/>
    <x v="1"/>
    <n v="897"/>
    <n v="1313"/>
    <s v="100 Block of EDDY ST"/>
    <s v="1400 Block of KIRKWOOD CT"/>
    <s v="DELIVERED"/>
    <d v="2005-04-16T00:00:00"/>
    <d v="2005-09-15T00:00:00"/>
    <s v="Heavy"/>
    <n v="152"/>
    <n v="0.68316831683168322"/>
  </r>
  <r>
    <n v="659"/>
    <n v="8747"/>
    <s v="Automotive"/>
    <x v="1"/>
    <x v="0"/>
    <n v="442"/>
    <n v="595"/>
    <s v="0 Block of UNITEDNATIONS PZ"/>
    <s v="200 Block of HAHN ST"/>
    <s v="DELIVERED"/>
    <d v="1998-02-21T00:00:00"/>
    <d v="1998-09-11T00:00:00"/>
    <s v="Light"/>
    <n v="202"/>
    <n v="0.74285714285714288"/>
  </r>
  <r>
    <n v="197"/>
    <n v="4142"/>
    <s v="Food and Beverages"/>
    <x v="0"/>
    <x v="1"/>
    <n v="98"/>
    <n v="360"/>
    <s v="300 Block of BUCHANAN ST"/>
    <s v="2800 Block of BRYANT ST"/>
    <s v="DELIVERED"/>
    <d v="1989-03-29T00:00:00"/>
    <d v="1989-08-23T00:00:00"/>
    <s v="Light"/>
    <n v="147"/>
    <n v="0.2722222222222222"/>
  </r>
  <r>
    <n v="540"/>
    <n v="9770"/>
    <s v="Luggage"/>
    <x v="1"/>
    <x v="1"/>
    <n v="431"/>
    <n v="934"/>
    <s v="4000 Block of GEARY BL"/>
    <s v="1000 Block of POTRERO AV"/>
    <s v="DELIVERED"/>
    <d v="1977-04-21T00:00:00"/>
    <d v="1977-11-08T00:00:00"/>
    <s v="Light"/>
    <n v="201"/>
    <n v="0.4614561027837259"/>
  </r>
  <r>
    <n v="178"/>
    <n v="2593"/>
    <s v="Construction"/>
    <x v="1"/>
    <x v="1"/>
    <n v="745"/>
    <n v="1383"/>
    <s v="3100 Block of 23RD ST"/>
    <s v="GEARY ST / POWELL ST"/>
    <s v="DELIVERED"/>
    <d v="2009-01-01T00:00:00"/>
    <d v="2009-01-26T00:00:00"/>
    <s v="Heavy"/>
    <n v="25"/>
    <n v="0.53868402024584239"/>
  </r>
  <r>
    <n v="202"/>
    <n v="9807"/>
    <s v="Home Furnishing"/>
    <x v="1"/>
    <x v="1"/>
    <n v="871"/>
    <n v="1274"/>
    <s v="200 Block of HAHN ST"/>
    <s v="600 Block of VALENCIA ST"/>
    <s v="DELIVERED"/>
    <d v="2001-01-27T00:00:00"/>
    <d v="2001-08-03T00:00:00"/>
    <s v="Heavy"/>
    <n v="188"/>
    <n v="0.68367346938775508"/>
  </r>
  <r>
    <n v="632"/>
    <n v="2525"/>
    <s v="Industrial Equipments"/>
    <x v="0"/>
    <x v="0"/>
    <n v="67"/>
    <n v="193"/>
    <s v="CAPP ST / 17TH ST"/>
    <s v="ALEMANY BL / ELLSWORTH ST"/>
    <s v="DELIVERED"/>
    <d v="1992-08-26T00:00:00"/>
    <d v="1992-12-25T00:00:00"/>
    <s v="Light"/>
    <n v="121"/>
    <n v="0.34715025906735753"/>
  </r>
  <r>
    <n v="25"/>
    <n v="1724"/>
    <s v="Home Furnishing"/>
    <x v="0"/>
    <x v="1"/>
    <n v="431"/>
    <n v="702"/>
    <s v="4TH ST / HARRISON ST"/>
    <s v="600 Block of CLAY ST"/>
    <s v="DELIVERED"/>
    <d v="2004-05-29T00:00:00"/>
    <d v="2004-05-17T00:00:00"/>
    <s v="Light"/>
    <n v="12"/>
    <n v="0.61396011396011396"/>
  </r>
  <r>
    <n v="990"/>
    <n v="7146"/>
    <s v="Construction"/>
    <x v="1"/>
    <x v="0"/>
    <n v="178"/>
    <n v="646"/>
    <s v="700 Block of BATTERY ST"/>
    <s v="0 Block of MARINA BL"/>
    <s v="DELIVERED"/>
    <d v="2003-05-18T00:00:00"/>
    <d v="2003-11-28T00:00:00"/>
    <s v="Light"/>
    <n v="194"/>
    <n v="0.27554179566563469"/>
  </r>
  <r>
    <n v="913"/>
    <n v="563"/>
    <s v="Home Furnishing"/>
    <x v="0"/>
    <x v="1"/>
    <n v="180"/>
    <n v="755"/>
    <s v="5TH ST / MARKET ST"/>
    <s v="MONTGOMERY ST / VALLEJO ST"/>
    <s v="NOT DELIVERED"/>
    <d v="1974-05-08T00:00:00"/>
    <d v="1899-12-30T00:00:00"/>
    <s v="Light"/>
    <s v=""/>
    <n v="0.23841059602649006"/>
  </r>
  <r>
    <n v="371"/>
    <n v="7771"/>
    <s v="Arts and crafts"/>
    <x v="0"/>
    <x v="1"/>
    <n v="280"/>
    <n v="990"/>
    <s v="2400 Block of MISSION ST"/>
    <s v="BEACH ST / TAYLOR ST"/>
    <s v="NOT DELIVERED"/>
    <d v="1975-07-03T00:00:00"/>
    <d v="1899-12-30T00:00:00"/>
    <s v="Light"/>
    <s v=""/>
    <n v="0.28282828282828282"/>
  </r>
  <r>
    <n v="514"/>
    <n v="4789"/>
    <s v="Hazardous Goods"/>
    <x v="0"/>
    <x v="1"/>
    <n v="263"/>
    <n v="965"/>
    <s v="TARAVAL ST / 17TH AV"/>
    <s v="EDDY ST / MASON ST"/>
    <s v="NOT DELIVERED"/>
    <d v="1982-05-18T00:00:00"/>
    <d v="1899-12-30T00:00:00"/>
    <s v="Light"/>
    <s v=""/>
    <n v="0.27253886010362693"/>
  </r>
  <r>
    <n v="707"/>
    <n v="3221"/>
    <s v="Automotive"/>
    <x v="0"/>
    <x v="0"/>
    <n v="187"/>
    <n v="931"/>
    <s v="19TH ST / SHOTWELL ST"/>
    <s v="7TH ST / STEVENSON ST"/>
    <s v="NOT DELIVERED"/>
    <d v="2007-06-19T00:00:00"/>
    <d v="1899-12-30T00:00:00"/>
    <s v="Light"/>
    <s v=""/>
    <n v="0.20085929108485501"/>
  </r>
  <r>
    <n v="473"/>
    <n v="5197"/>
    <s v="Arts and crafts"/>
    <x v="1"/>
    <x v="0"/>
    <n v="94"/>
    <n v="361"/>
    <s v="2300 Block of 14TH AV"/>
    <s v="0 Block of 12TH ST"/>
    <s v="DELIVERED"/>
    <d v="2012-01-25T00:00:00"/>
    <d v="2012-01-17T00:00:00"/>
    <s v="Light"/>
    <n v="8"/>
    <n v="0.26038781163434904"/>
  </r>
  <r>
    <n v="847"/>
    <n v="8183"/>
    <s v="Fashion"/>
    <x v="1"/>
    <x v="1"/>
    <n v="906"/>
    <n v="1297"/>
    <s v="2100 Block of MISSION ST"/>
    <s v="1100 Block of FOLSOM ST"/>
    <s v="NOT DELIVERED"/>
    <d v="1983-04-17T00:00:00"/>
    <d v="1899-12-30T00:00:00"/>
    <s v="Heavy"/>
    <s v=""/>
    <n v="0.69853508095605243"/>
  </r>
  <r>
    <n v="815"/>
    <n v="1126"/>
    <s v="Healthcare"/>
    <x v="1"/>
    <x v="0"/>
    <n v="71"/>
    <n v="130"/>
    <s v="1400 Block of VANDYKE AV"/>
    <s v="EDDY ST / VANNESS AV"/>
    <s v="DELIVERED"/>
    <d v="2010-01-30T00:00:00"/>
    <d v="2010-03-02T00:00:00"/>
    <s v="Light"/>
    <n v="31"/>
    <n v="0.5461538461538461"/>
  </r>
  <r>
    <n v="928"/>
    <n v="4899"/>
    <s v="Hazardous Goods"/>
    <x v="1"/>
    <x v="1"/>
    <n v="253"/>
    <n v="904"/>
    <s v="800 Block of MARKET ST"/>
    <s v="800 Block of MARKET ST"/>
    <s v="NOT DELIVERED"/>
    <d v="1973-09-05T00:00:00"/>
    <d v="1899-12-30T00:00:00"/>
    <s v="Light"/>
    <s v=""/>
    <n v="0.27986725663716816"/>
  </r>
  <r>
    <n v="210"/>
    <n v="4732"/>
    <s v="Home Furnishing"/>
    <x v="1"/>
    <x v="1"/>
    <n v="591"/>
    <n v="1433"/>
    <s v="300 Block of COLLINGWOOD ST"/>
    <s v="900 Block of MARKET ST"/>
    <s v="NOT DELIVERED"/>
    <d v="2005-10-23T00:00:00"/>
    <d v="1899-12-30T00:00:00"/>
    <s v="Heavy"/>
    <s v=""/>
    <n v="0.41242149337055128"/>
  </r>
  <r>
    <n v="793"/>
    <n v="4103"/>
    <s v="Automotive"/>
    <x v="0"/>
    <x v="0"/>
    <n v="399"/>
    <n v="835"/>
    <s v="400 Block of ELLIS ST"/>
    <s v="17TH ST / SHOTWELL ST"/>
    <s v="NOT DELIVERED"/>
    <d v="1996-07-06T00:00:00"/>
    <d v="1899-12-30T00:00:00"/>
    <s v="Light"/>
    <s v=""/>
    <n v="0.47784431137724553"/>
  </r>
  <r>
    <n v="872"/>
    <n v="7861"/>
    <s v="Automotive"/>
    <x v="1"/>
    <x v="1"/>
    <n v="91"/>
    <n v="242"/>
    <s v="21ST ST / POTRERO AV"/>
    <s v="400 Block of GENEVA AV"/>
    <s v="DELIVERED"/>
    <d v="2008-05-21T00:00:00"/>
    <d v="2008-05-17T00:00:00"/>
    <s v="Light"/>
    <n v="4"/>
    <n v="0.37603305785123969"/>
  </r>
  <r>
    <n v="298"/>
    <n v="7764"/>
    <s v="Hazardous Goods"/>
    <x v="1"/>
    <x v="0"/>
    <n v="717"/>
    <n v="1297"/>
    <s v="200 Block of 11TH AV"/>
    <s v="400 Block of TURK ST"/>
    <s v="NOT DELIVERED"/>
    <d v="1979-05-13T00:00:00"/>
    <d v="1899-12-30T00:00:00"/>
    <s v="Heavy"/>
    <s v=""/>
    <n v="0.5528141865844256"/>
  </r>
  <r>
    <n v="941"/>
    <n v="5345"/>
    <s v="Food and Beverages"/>
    <x v="1"/>
    <x v="0"/>
    <n v="735"/>
    <n v="1181"/>
    <s v="17TH ST / FOLSOM ST"/>
    <s v="400 Block of BRIGHT ST"/>
    <s v="DELIVERED"/>
    <d v="2010-07-01T00:00:00"/>
    <d v="2010-08-28T00:00:00"/>
    <s v="Heavy"/>
    <n v="58"/>
    <n v="0.62235393734123623"/>
  </r>
  <r>
    <n v="731"/>
    <n v="6191"/>
    <s v="Hazardous Goods"/>
    <x v="0"/>
    <x v="1"/>
    <n v="970"/>
    <n v="1242"/>
    <s v="KEITH ST / SHAFTER AV"/>
    <s v="0 Block of SPOFFORD LN"/>
    <s v="NOT DELIVERED"/>
    <d v="1983-07-05T00:00:00"/>
    <d v="1899-12-30T00:00:00"/>
    <s v="Heavy"/>
    <s v=""/>
    <n v="0.78099838969404189"/>
  </r>
  <r>
    <n v="500"/>
    <n v="310"/>
    <s v="Arts and crafts"/>
    <x v="0"/>
    <x v="0"/>
    <n v="80"/>
    <n v="236"/>
    <s v="900 Block of LARKIN ST"/>
    <s v="900 Block of STOCKTON ST"/>
    <s v="NOT DELIVERED"/>
    <d v="1980-07-05T00:00:00"/>
    <d v="1899-12-30T00:00:00"/>
    <s v="Light"/>
    <s v=""/>
    <n v="0.33898305084745761"/>
  </r>
  <r>
    <n v="142"/>
    <n v="3095"/>
    <s v="Arts and crafts"/>
    <x v="0"/>
    <x v="1"/>
    <n v="550"/>
    <n v="1171"/>
    <s v="400 Block of TURK ST"/>
    <s v="MADRID ST / RUSSIA AV"/>
    <s v="NOT DELIVERED"/>
    <d v="1983-08-21T00:00:00"/>
    <d v="1899-12-30T00:00:00"/>
    <s v="Heavy"/>
    <s v=""/>
    <n v="0.46968403074295473"/>
  </r>
  <r>
    <n v="787"/>
    <n v="2159"/>
    <s v="Arts and crafts"/>
    <x v="1"/>
    <x v="1"/>
    <n v="187"/>
    <n v="864"/>
    <s v="0 Block of OFARRELL ST"/>
    <s v="200 Block of TURK ST"/>
    <s v="DELIVERED"/>
    <d v="2011-03-28T00:00:00"/>
    <d v="2011-06-25T00:00:00"/>
    <s v="Light"/>
    <n v="89"/>
    <n v="0.21643518518518517"/>
  </r>
  <r>
    <n v="749"/>
    <n v="3569"/>
    <s v="Automotive"/>
    <x v="1"/>
    <x v="1"/>
    <n v="262"/>
    <n v="875"/>
    <s v="0 Block of PAYSON ST"/>
    <s v="0 Block of POWELL ST"/>
    <s v="DELIVERED"/>
    <d v="2014-04-30T00:00:00"/>
    <d v="2014-07-02T00:00:00"/>
    <s v="Light"/>
    <n v="63"/>
    <n v="0.29942857142857143"/>
  </r>
  <r>
    <n v="304"/>
    <n v="5958"/>
    <s v="Food and Beverages"/>
    <x v="0"/>
    <x v="0"/>
    <n v="540"/>
    <n v="1172"/>
    <s v="500 Block of STEVENSON ST"/>
    <s v="HYDE ST / TURK ST"/>
    <s v="DELIVERED"/>
    <d v="2004-03-20T00:00:00"/>
    <d v="2004-09-25T00:00:00"/>
    <s v="Heavy"/>
    <n v="189"/>
    <n v="0.46075085324232085"/>
  </r>
  <r>
    <n v="30"/>
    <n v="1275"/>
    <s v="Fashion"/>
    <x v="0"/>
    <x v="0"/>
    <n v="581"/>
    <n v="1422"/>
    <s v="CALIFORNIA ST / DAVIS ST"/>
    <s v="0 Block of STOCKTON ST"/>
    <s v="DELIVERED"/>
    <d v="2010-02-19T00:00:00"/>
    <d v="2010-03-09T00:00:00"/>
    <s v="Heavy"/>
    <n v="18"/>
    <n v="0.40857946554149088"/>
  </r>
  <r>
    <n v="477"/>
    <n v="6357"/>
    <s v="Fashion"/>
    <x v="1"/>
    <x v="0"/>
    <n v="840"/>
    <n v="1061"/>
    <s v="400 Block of LEAVENWORTH ST"/>
    <s v="NEWCOMB AV / 3RD ST"/>
    <s v="NOT DELIVERED"/>
    <d v="1986-09-07T00:00:00"/>
    <d v="1899-12-30T00:00:00"/>
    <s v="Heavy"/>
    <s v=""/>
    <n v="0.79170593779453347"/>
  </r>
  <r>
    <n v="52"/>
    <n v="4551"/>
    <s v="Hazardous Goods"/>
    <x v="0"/>
    <x v="1"/>
    <n v="873"/>
    <n v="1199"/>
    <s v="1000 Block of COLUMBUS AV"/>
    <s v="1400 Block of PHELPS ST"/>
    <s v="NOT DELIVERED"/>
    <d v="2016-05-20T00:00:00"/>
    <d v="1899-12-30T00:00:00"/>
    <s v="Heavy"/>
    <s v=""/>
    <n v="0.7281067556296914"/>
  </r>
  <r>
    <n v="73"/>
    <n v="4252"/>
    <s v="Home Furnishing"/>
    <x v="0"/>
    <x v="1"/>
    <n v="315"/>
    <n v="937"/>
    <s v="800 Block of BRYANT ST"/>
    <s v="3800 Block of 24TH ST"/>
    <s v="NOT DELIVERED"/>
    <d v="1993-03-06T00:00:00"/>
    <d v="1899-12-30T00:00:00"/>
    <s v="Light"/>
    <s v=""/>
    <n v="0.33617929562433296"/>
  </r>
  <r>
    <n v="691"/>
    <n v="2096"/>
    <s v="Industrial Equipments"/>
    <x v="0"/>
    <x v="0"/>
    <n v="955"/>
    <n v="1369"/>
    <s v="5TH ST / MISSION ST"/>
    <s v="1500 Block of HAIGHT ST"/>
    <s v="DELIVERED"/>
    <d v="2012-05-02T00:00:00"/>
    <d v="2012-08-20T00:00:00"/>
    <s v="Heavy"/>
    <n v="110"/>
    <n v="0.69758948137326515"/>
  </r>
  <r>
    <n v="786"/>
    <n v="5209"/>
    <s v="Healthcare"/>
    <x v="1"/>
    <x v="1"/>
    <n v="372"/>
    <n v="679"/>
    <s v="3600 Block of SACRAMENTO ST"/>
    <s v="SCOTT ST / CHESTNUT ST"/>
    <s v="DELIVERED"/>
    <d v="1976-06-06T00:00:00"/>
    <d v="1976-08-31T00:00:00"/>
    <s v="Light"/>
    <n v="86"/>
    <n v="0.54786450662739328"/>
  </r>
  <r>
    <n v="68"/>
    <n v="9271"/>
    <s v="Arts and crafts"/>
    <x v="0"/>
    <x v="1"/>
    <n v="182"/>
    <n v="726"/>
    <s v="1700 Block of FULTON ST"/>
    <s v="300 Block of HAIGHT ST"/>
    <s v="NOT DELIVERED"/>
    <d v="2004-07-30T00:00:00"/>
    <d v="1899-12-30T00:00:00"/>
    <s v="Light"/>
    <s v=""/>
    <n v="0.25068870523415976"/>
  </r>
  <r>
    <n v="630"/>
    <n v="6772"/>
    <s v="Hazardous Goods"/>
    <x v="0"/>
    <x v="0"/>
    <n v="868"/>
    <n v="1320"/>
    <s v="3300 Block of BALBOA ST"/>
    <s v="300 Block of ELLIS ST"/>
    <s v="DELIVERED"/>
    <d v="2009-02-23T00:00:00"/>
    <d v="2009-09-29T00:00:00"/>
    <s v="Heavy"/>
    <n v="218"/>
    <n v="0.65757575757575759"/>
  </r>
  <r>
    <n v="357"/>
    <n v="4628"/>
    <s v="Healthcare"/>
    <x v="1"/>
    <x v="1"/>
    <n v="777"/>
    <n v="1113"/>
    <s v="200 Block of KING ST"/>
    <s v="0 Block of FUENTE AV"/>
    <s v="NOT DELIVERED"/>
    <d v="1990-10-11T00:00:00"/>
    <d v="1899-12-30T00:00:00"/>
    <s v="Heavy"/>
    <s v=""/>
    <n v="0.69811320754716977"/>
  </r>
  <r>
    <n v="455"/>
    <n v="3853"/>
    <s v="Construction"/>
    <x v="1"/>
    <x v="0"/>
    <n v="172"/>
    <n v="580"/>
    <s v="LASALLE AV / PHELPS ST"/>
    <s v="2000 Block of MISSION ST"/>
    <s v="NOT DELIVERED"/>
    <d v="2011-10-08T00:00:00"/>
    <d v="1899-12-30T00:00:00"/>
    <s v="Light"/>
    <s v=""/>
    <n v="0.29655172413793102"/>
  </r>
  <r>
    <n v="947"/>
    <n v="515"/>
    <s v="Fashion"/>
    <x v="1"/>
    <x v="1"/>
    <n v="665"/>
    <n v="1257"/>
    <s v="3300 Block of 22ND ST"/>
    <s v="CALIFORNIA ST / POLK ST"/>
    <s v="DELIVERED"/>
    <d v="1987-01-15T00:00:00"/>
    <d v="1987-04-30T00:00:00"/>
    <s v="Heavy"/>
    <n v="105"/>
    <n v="0.5290373906125696"/>
  </r>
  <r>
    <n v="589"/>
    <n v="7513"/>
    <s v="Arts and crafts"/>
    <x v="1"/>
    <x v="1"/>
    <n v="516"/>
    <n v="1084"/>
    <s v="16TH ST / MISSOURI ST"/>
    <s v="200 Block of HARKNESS AV"/>
    <s v="NOT DELIVERED"/>
    <d v="1971-02-06T00:00:00"/>
    <d v="1899-12-30T00:00:00"/>
    <s v="Heavy"/>
    <s v=""/>
    <n v="0.47601476014760147"/>
  </r>
  <r>
    <n v="863"/>
    <n v="9030"/>
    <s v="Automotive"/>
    <x v="1"/>
    <x v="0"/>
    <n v="412"/>
    <n v="872"/>
    <s v="WINSTON DR / 19TH AV"/>
    <s v="300 Block of BEALE ST"/>
    <s v="NOT DELIVERED"/>
    <d v="1975-03-04T00:00:00"/>
    <d v="1899-12-30T00:00:00"/>
    <s v="Light"/>
    <s v=""/>
    <n v="0.47247706422018348"/>
  </r>
  <r>
    <n v="668"/>
    <n v="2378"/>
    <s v="Luggage"/>
    <x v="0"/>
    <x v="1"/>
    <n v="938"/>
    <n v="1067"/>
    <s v="2100 Block of 16TH AV"/>
    <s v="5TH ST / MARKET ST"/>
    <s v="DELIVERED"/>
    <d v="1972-06-10T00:00:00"/>
    <d v="1972-06-16T00:00:00"/>
    <s v="Heavy"/>
    <n v="6"/>
    <n v="0.87910028116213679"/>
  </r>
  <r>
    <n v="206"/>
    <n v="5894"/>
    <s v="Luggage"/>
    <x v="1"/>
    <x v="1"/>
    <n v="854"/>
    <n v="1251"/>
    <s v="1900 Block of WASHINGTON ST"/>
    <s v="CALIFORNIA ST / FILLMORE ST"/>
    <s v="NOT DELIVERED"/>
    <d v="2012-06-25T00:00:00"/>
    <d v="1899-12-30T00:00:00"/>
    <s v="Heavy"/>
    <s v=""/>
    <n v="0.68265387689848123"/>
  </r>
  <r>
    <n v="835"/>
    <n v="7587"/>
    <s v="Luggage"/>
    <x v="1"/>
    <x v="0"/>
    <n v="638"/>
    <n v="1314"/>
    <s v="MARTIN LUTHER KING JR DR / 9TH AV"/>
    <s v="0 Block of TURK ST"/>
    <s v="NOT DELIVERED"/>
    <d v="1977-01-05T00:00:00"/>
    <d v="1899-12-30T00:00:00"/>
    <s v="Heavy"/>
    <s v=""/>
    <n v="0.48554033485540332"/>
  </r>
  <r>
    <n v="315"/>
    <n v="1424"/>
    <s v="Food and Beverages"/>
    <x v="0"/>
    <x v="1"/>
    <n v="230"/>
    <n v="638"/>
    <s v="3RD AV / BALBOA ST"/>
    <s v="400 Block of LAKESHORE DR"/>
    <s v="NOT DELIVERED"/>
    <d v="1995-11-26T00:00:00"/>
    <d v="1899-12-30T00:00:00"/>
    <s v="Light"/>
    <s v=""/>
    <n v="0.36050156739811912"/>
  </r>
  <r>
    <n v="553"/>
    <n v="5214"/>
    <s v="Arts and crafts"/>
    <x v="0"/>
    <x v="0"/>
    <n v="245"/>
    <n v="611"/>
    <s v="3800 Block of MISSION ST"/>
    <s v="100 Block of PAGE ST"/>
    <s v="NOT DELIVERED"/>
    <d v="1995-07-26T00:00:00"/>
    <d v="1899-12-30T00:00:00"/>
    <s v="Light"/>
    <s v=""/>
    <n v="0.40098199672667756"/>
  </r>
  <r>
    <n v="861"/>
    <n v="8249"/>
    <s v="Luggage"/>
    <x v="1"/>
    <x v="0"/>
    <n v="916"/>
    <n v="1255"/>
    <s v="500 Block of JOHNFKENNEDY DR"/>
    <s v="VALLEJO ST / KEARNY ST"/>
    <s v="DELIVERED"/>
    <d v="1996-02-09T00:00:00"/>
    <d v="1996-09-13T00:00:00"/>
    <s v="Heavy"/>
    <n v="217"/>
    <n v="0.72988047808764944"/>
  </r>
  <r>
    <n v="279"/>
    <n v="3172"/>
    <s v="Construction"/>
    <x v="1"/>
    <x v="0"/>
    <n v="84"/>
    <n v="464"/>
    <s v="800 Block of MARKET ST"/>
    <s v="1500 Block of SLOAT BL"/>
    <s v="NOT DELIVERED"/>
    <d v="2016-03-18T00:00:00"/>
    <d v="1899-12-30T00:00:00"/>
    <s v="Light"/>
    <s v=""/>
    <n v="0.18103448275862069"/>
  </r>
  <r>
    <n v="75"/>
    <n v="5489"/>
    <s v="Fashion"/>
    <x v="0"/>
    <x v="0"/>
    <n v="869"/>
    <n v="1317"/>
    <s v="100 Block of POWELL ST"/>
    <s v="GOLDEN GATE AV / LEAVENWORTH ST"/>
    <s v="DELIVERED"/>
    <d v="2002-05-28T00:00:00"/>
    <d v="2002-09-08T00:00:00"/>
    <s v="Heavy"/>
    <n v="103"/>
    <n v="0.65983295368261197"/>
  </r>
  <r>
    <n v="895"/>
    <n v="2037"/>
    <s v="Arts and crafts"/>
    <x v="1"/>
    <x v="1"/>
    <n v="271"/>
    <n v="704"/>
    <s v="500 Block of HOWARD ST"/>
    <s v="500 Block of JACKSON ST"/>
    <s v="NOT DELIVERED"/>
    <d v="2010-03-15T00:00:00"/>
    <d v="1899-12-30T00:00:00"/>
    <s v="Light"/>
    <s v=""/>
    <n v="0.38494318181818182"/>
  </r>
  <r>
    <n v="866"/>
    <n v="2401"/>
    <s v="Luggage"/>
    <x v="1"/>
    <x v="0"/>
    <n v="691"/>
    <n v="1260"/>
    <s v="0 Block of MYRTLE ST"/>
    <s v="2ND ST / TOWNSEND ST"/>
    <s v="DELIVERED"/>
    <d v="1995-01-22T00:00:00"/>
    <d v="1995-01-01T00:00:00"/>
    <s v="Heavy"/>
    <n v="21"/>
    <n v="0.54841269841269846"/>
  </r>
  <r>
    <n v="792"/>
    <n v="1303"/>
    <s v="Arts and crafts"/>
    <x v="0"/>
    <x v="0"/>
    <n v="808"/>
    <n v="1257"/>
    <s v="900 Block of THE EMBARCADERO NORTH ST"/>
    <s v="2500 Block of OCTAVIA ST"/>
    <s v="NOT DELIVERED"/>
    <d v="2008-09-24T00:00:00"/>
    <d v="1899-12-30T00:00:00"/>
    <s v="Heavy"/>
    <s v=""/>
    <n v="0.64280031821797934"/>
  </r>
  <r>
    <n v="191"/>
    <n v="6798"/>
    <s v="Home Furnishing"/>
    <x v="1"/>
    <x v="1"/>
    <n v="997"/>
    <n v="1382"/>
    <s v="600 Block of GOETTINGEN ST"/>
    <s v="100 Block of 6TH ST"/>
    <s v="DELIVERED"/>
    <d v="1989-01-03T00:00:00"/>
    <d v="1989-10-17T00:00:00"/>
    <s v="Heavy"/>
    <n v="287"/>
    <n v="0.72141823444283648"/>
  </r>
  <r>
    <n v="59"/>
    <n v="9917"/>
    <s v="Construction"/>
    <x v="1"/>
    <x v="0"/>
    <n v="329"/>
    <n v="977"/>
    <s v="1000 Block of SUTTER ST"/>
    <s v="800 Block of 3RD ST"/>
    <s v="NOT DELIVERED"/>
    <d v="1984-04-02T00:00:00"/>
    <d v="1899-12-30T00:00:00"/>
    <s v="Light"/>
    <s v=""/>
    <n v="0.3367451381780962"/>
  </r>
  <r>
    <n v="748"/>
    <n v="2969"/>
    <s v="Home Furnishing"/>
    <x v="0"/>
    <x v="0"/>
    <n v="600"/>
    <n v="1048"/>
    <s v="100 Block of MONTGOMERY ST"/>
    <s v="600 Block of PRENTISS ST"/>
    <s v="NOT DELIVERED"/>
    <d v="1987-05-07T00:00:00"/>
    <d v="1899-12-30T00:00:00"/>
    <s v="Heavy"/>
    <s v=""/>
    <n v="0.5725190839694656"/>
  </r>
  <r>
    <n v="693"/>
    <n v="8737"/>
    <s v="Home Furnishing"/>
    <x v="1"/>
    <x v="1"/>
    <n v="715"/>
    <n v="1271"/>
    <s v="0 Block of POWELL ST"/>
    <s v="600 Block of VALENCIA ST"/>
    <s v="NOT DELIVERED"/>
    <d v="1984-01-04T00:00:00"/>
    <d v="1899-12-30T00:00:00"/>
    <s v="Heavy"/>
    <s v=""/>
    <n v="0.56254917387883552"/>
  </r>
  <r>
    <n v="955"/>
    <n v="2104"/>
    <s v="Home Furnishing"/>
    <x v="1"/>
    <x v="1"/>
    <n v="957"/>
    <n v="1007"/>
    <s v="BARTLETT ST / 21ST ST"/>
    <s v="FELL ST / POLK ST"/>
    <s v="DELIVERED"/>
    <d v="1992-05-10T00:00:00"/>
    <d v="1992-12-27T00:00:00"/>
    <s v="Heavy"/>
    <n v="231"/>
    <n v="0.95034756703078449"/>
  </r>
  <r>
    <n v="538"/>
    <n v="1702"/>
    <s v="Industrial Equipments"/>
    <x v="1"/>
    <x v="1"/>
    <n v="484"/>
    <n v="863"/>
    <s v="700 Block of MARKET ST"/>
    <s v="700 Block of SWEENY ST"/>
    <s v="NOT DELIVERED"/>
    <d v="2009-08-07T00:00:00"/>
    <d v="1899-12-30T00:00:00"/>
    <s v="Light"/>
    <s v=""/>
    <n v="0.56083429895712633"/>
  </r>
  <r>
    <n v="169"/>
    <n v="8933"/>
    <s v="Electronics"/>
    <x v="1"/>
    <x v="1"/>
    <n v="576"/>
    <n v="1077"/>
    <s v="0 Block of CAMERON WY"/>
    <s v="200 Block of DORE ST"/>
    <s v="DELIVERED"/>
    <d v="2017-03-17T00:00:00"/>
    <d v="2017-08-24T00:00:00"/>
    <s v="Heavy"/>
    <n v="160"/>
    <n v="0.5348189415041783"/>
  </r>
  <r>
    <n v="924"/>
    <n v="3624"/>
    <s v="Construction"/>
    <x v="1"/>
    <x v="0"/>
    <n v="606"/>
    <n v="1021"/>
    <s v="FILLMORE ST / OFARRELL ST"/>
    <s v="HAWTHORNE ST / HARRISON ST"/>
    <s v="DELIVERED"/>
    <d v="2015-01-28T00:00:00"/>
    <d v="2015-03-20T00:00:00"/>
    <s v="Heavy"/>
    <n v="51"/>
    <n v="0.59353574926542607"/>
  </r>
  <r>
    <n v="579"/>
    <n v="4892"/>
    <s v="Home Furnishing"/>
    <x v="0"/>
    <x v="1"/>
    <n v="913"/>
    <n v="1385"/>
    <s v="SUTTER ST / LAGUNA ST"/>
    <s v="SOUTH VAN NESS AV / 22ND ST"/>
    <s v="NOT DELIVERED"/>
    <d v="2016-12-21T00:00:00"/>
    <d v="1899-12-30T00:00:00"/>
    <s v="Heavy"/>
    <s v=""/>
    <n v="0.659205776173285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AD71AE-AE35-4EED-BAA0-A624D61696E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5">
    <pivotField showAll="0"/>
    <pivotField showAll="0"/>
    <pivotField showAll="0"/>
    <pivotField showAll="0"/>
    <pivotField axis="axisRow" showAll="0">
      <items count="3">
        <item x="1"/>
        <item x="0"/>
        <item t="default"/>
      </items>
    </pivotField>
    <pivotField dataField="1" showAll="0"/>
    <pivotField showAll="0"/>
    <pivotField showAll="0"/>
    <pivotField showAll="0"/>
    <pivotField showAll="0"/>
    <pivotField numFmtId="14" showAll="0"/>
    <pivotField numFmtId="14" showAll="0"/>
    <pivotField showAll="0"/>
    <pivotField showAll="0"/>
    <pivotField numFmtId="164" showAll="0"/>
  </pivotFields>
  <rowFields count="1">
    <field x="4"/>
  </rowFields>
  <rowItems count="3">
    <i>
      <x/>
    </i>
    <i>
      <x v="1"/>
    </i>
    <i t="grand">
      <x/>
    </i>
  </rowItems>
  <colItems count="1">
    <i/>
  </colItems>
  <dataFields count="1">
    <dataField name="Average of SH_WEIGHT" fld="5" subtotal="average" baseField="4" baseItem="0"/>
  </dataFields>
  <formats count="3">
    <format dxfId="70">
      <pivotArea collapsedLevelsAreSubtotals="1" fieldPosition="0">
        <references count="1">
          <reference field="4" count="1">
            <x v="0"/>
          </reference>
        </references>
      </pivotArea>
    </format>
    <format dxfId="69">
      <pivotArea collapsedLevelsAreSubtotals="1" fieldPosition="0">
        <references count="1">
          <reference field="4" count="1">
            <x v="1"/>
          </reference>
        </references>
      </pivotArea>
    </format>
    <format dxfId="68">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0ABEC9-0D96-4A47-A823-981DE8214D2F}"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5">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numFmtId="14" showAll="0"/>
    <pivotField numFmtId="14" showAll="0"/>
    <pivotField showAll="0"/>
    <pivotField showAll="0"/>
    <pivotField numFmtId="164" showAll="0"/>
  </pivotFields>
  <rowFields count="1">
    <field x="3"/>
  </rowFields>
  <rowItems count="3">
    <i>
      <x/>
    </i>
    <i>
      <x v="1"/>
    </i>
    <i t="grand">
      <x/>
    </i>
  </rowItems>
  <colItems count="1">
    <i/>
  </colItems>
  <dataFields count="1">
    <dataField name="Count of SH_DOMAIN" fld="3"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0F542E-666E-4586-8CD4-972636A83E1C}"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5">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numFmtId="14" showAll="0"/>
    <pivotField numFmtId="14" showAll="0"/>
    <pivotField showAll="0"/>
    <pivotField dataField="1" showAll="0"/>
    <pivotField numFmtId="164" showAll="0"/>
  </pivotFields>
  <rowFields count="1">
    <field x="3"/>
  </rowFields>
  <rowItems count="3">
    <i>
      <x/>
    </i>
    <i>
      <x v="1"/>
    </i>
    <i t="grand">
      <x/>
    </i>
  </rowItems>
  <colItems count="1">
    <i/>
  </colItems>
  <dataFields count="1">
    <dataField name="Average of Delivery_Time" fld="1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7CA529-8FE1-436B-8DF0-D913147BB295}"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15">
    <pivotField showAll="0"/>
    <pivotField showAll="0"/>
    <pivotField showAll="0"/>
    <pivotField axis="axisRow" showAll="0">
      <items count="3">
        <item x="0"/>
        <item h="1" x="1"/>
        <item t="default"/>
      </items>
    </pivotField>
    <pivotField axis="axisRow" showAll="0">
      <items count="3">
        <item x="1"/>
        <item h="1" x="0"/>
        <item t="default"/>
      </items>
    </pivotField>
    <pivotField showAll="0"/>
    <pivotField showAll="0"/>
    <pivotField showAll="0"/>
    <pivotField showAll="0"/>
    <pivotField showAll="0"/>
    <pivotField numFmtId="14" showAll="0"/>
    <pivotField numFmtId="14" showAll="0"/>
    <pivotField showAll="0"/>
    <pivotField showAll="0"/>
    <pivotField dataField="1" numFmtId="164" showAll="0"/>
  </pivotFields>
  <rowFields count="2">
    <field x="3"/>
    <field x="4"/>
  </rowFields>
  <rowItems count="3">
    <i>
      <x/>
    </i>
    <i r="1">
      <x/>
    </i>
    <i t="grand">
      <x/>
    </i>
  </rowItems>
  <colItems count="1">
    <i/>
  </colItems>
  <dataFields count="1">
    <dataField name="Average of Efficiency" fld="14" subtotal="average" baseField="3" baseItem="0" numFmtId="164"/>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B7FA78-DF0A-4968-B4AF-E8A10280C0F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9">
    <pivotField showAll="0"/>
    <pivotField axis="axisRow" showAll="0" measureFilter="1" sortType="descending">
      <items count="201">
        <item x="124"/>
        <item x="53"/>
        <item x="13"/>
        <item x="123"/>
        <item x="0"/>
        <item x="40"/>
        <item x="38"/>
        <item x="162"/>
        <item x="82"/>
        <item x="29"/>
        <item x="177"/>
        <item x="92"/>
        <item x="148"/>
        <item x="136"/>
        <item x="49"/>
        <item x="88"/>
        <item x="33"/>
        <item x="114"/>
        <item x="154"/>
        <item x="42"/>
        <item x="130"/>
        <item x="128"/>
        <item x="81"/>
        <item x="58"/>
        <item x="70"/>
        <item x="167"/>
        <item x="64"/>
        <item x="190"/>
        <item x="65"/>
        <item x="183"/>
        <item x="60"/>
        <item x="196"/>
        <item x="146"/>
        <item x="109"/>
        <item x="125"/>
        <item x="28"/>
        <item x="3"/>
        <item x="98"/>
        <item x="188"/>
        <item x="83"/>
        <item x="171"/>
        <item x="195"/>
        <item x="137"/>
        <item x="138"/>
        <item x="6"/>
        <item x="164"/>
        <item x="113"/>
        <item x="112"/>
        <item x="106"/>
        <item x="2"/>
        <item x="11"/>
        <item x="32"/>
        <item x="74"/>
        <item x="47"/>
        <item x="8"/>
        <item x="180"/>
        <item x="139"/>
        <item x="189"/>
        <item x="57"/>
        <item x="145"/>
        <item x="131"/>
        <item x="143"/>
        <item x="133"/>
        <item x="41"/>
        <item x="134"/>
        <item x="193"/>
        <item x="18"/>
        <item x="10"/>
        <item x="78"/>
        <item x="163"/>
        <item x="127"/>
        <item x="104"/>
        <item x="186"/>
        <item x="1"/>
        <item x="151"/>
        <item x="120"/>
        <item x="77"/>
        <item x="165"/>
        <item x="55"/>
        <item x="101"/>
        <item x="198"/>
        <item x="30"/>
        <item x="122"/>
        <item x="72"/>
        <item x="176"/>
        <item x="22"/>
        <item x="26"/>
        <item x="44"/>
        <item x="93"/>
        <item x="9"/>
        <item x="157"/>
        <item x="141"/>
        <item x="14"/>
        <item x="170"/>
        <item x="45"/>
        <item x="36"/>
        <item x="115"/>
        <item x="84"/>
        <item x="15"/>
        <item x="17"/>
        <item x="71"/>
        <item x="169"/>
        <item x="175"/>
        <item x="43"/>
        <item x="156"/>
        <item x="150"/>
        <item x="20"/>
        <item x="199"/>
        <item x="155"/>
        <item x="103"/>
        <item x="12"/>
        <item x="48"/>
        <item x="152"/>
        <item x="172"/>
        <item x="184"/>
        <item x="90"/>
        <item x="111"/>
        <item x="160"/>
        <item x="24"/>
        <item x="59"/>
        <item x="187"/>
        <item x="7"/>
        <item x="16"/>
        <item x="118"/>
        <item x="181"/>
        <item x="166"/>
        <item x="19"/>
        <item x="161"/>
        <item x="117"/>
        <item x="73"/>
        <item x="168"/>
        <item x="34"/>
        <item x="62"/>
        <item x="25"/>
        <item x="54"/>
        <item x="35"/>
        <item x="100"/>
        <item x="87"/>
        <item x="86"/>
        <item x="132"/>
        <item x="63"/>
        <item x="174"/>
        <item x="121"/>
        <item x="191"/>
        <item x="46"/>
        <item x="107"/>
        <item x="147"/>
        <item x="95"/>
        <item x="79"/>
        <item x="56"/>
        <item x="4"/>
        <item x="108"/>
        <item x="178"/>
        <item x="89"/>
        <item x="182"/>
        <item x="5"/>
        <item x="159"/>
        <item x="149"/>
        <item x="85"/>
        <item x="31"/>
        <item x="158"/>
        <item x="51"/>
        <item x="105"/>
        <item x="21"/>
        <item x="153"/>
        <item x="185"/>
        <item x="119"/>
        <item x="91"/>
        <item x="76"/>
        <item x="194"/>
        <item x="140"/>
        <item x="80"/>
        <item x="102"/>
        <item x="129"/>
        <item x="94"/>
        <item x="66"/>
        <item x="27"/>
        <item x="52"/>
        <item x="39"/>
        <item x="197"/>
        <item x="179"/>
        <item x="75"/>
        <item x="99"/>
        <item x="173"/>
        <item x="23"/>
        <item x="61"/>
        <item x="37"/>
        <item x="50"/>
        <item x="126"/>
        <item x="68"/>
        <item x="135"/>
        <item x="142"/>
        <item x="116"/>
        <item x="96"/>
        <item x="144"/>
        <item x="67"/>
        <item x="192"/>
        <item x="97"/>
        <item x="69"/>
        <item x="11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s>
  <rowFields count="1">
    <field x="1"/>
  </rowFields>
  <rowItems count="6">
    <i>
      <x v="28"/>
    </i>
    <i>
      <x v="2"/>
    </i>
    <i>
      <x v="3"/>
    </i>
    <i>
      <x v="44"/>
    </i>
    <i>
      <x/>
    </i>
    <i t="grand">
      <x/>
    </i>
  </rowItems>
  <colItems count="1">
    <i/>
  </colItems>
  <dataFields count="1">
    <dataField name="Sum of AMOUNT" fld="3" baseField="1" baseItem="0"/>
  </dataField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FC2517-155B-4FC8-AB0D-A27A3DB6F31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1" firstDataRow="2" firstDataCol="1"/>
  <pivotFields count="9">
    <pivotField showAll="0"/>
    <pivotField showAll="0"/>
    <pivotField showAll="0"/>
    <pivotField dataField="1" showAll="0"/>
    <pivotField axis="axisCol" showAll="0">
      <items count="3">
        <item x="1"/>
        <item x="0"/>
        <item t="default"/>
      </items>
    </pivotField>
    <pivotField axis="axisRow" showAll="0">
      <items count="3">
        <item x="0"/>
        <item x="1"/>
        <item t="default"/>
      </items>
    </pivotField>
    <pivotField showAll="0"/>
    <pivotField showAll="0"/>
    <pivotField showAll="0"/>
  </pivotFields>
  <rowFields count="1">
    <field x="5"/>
  </rowFields>
  <rowItems count="3">
    <i>
      <x/>
    </i>
    <i>
      <x v="1"/>
    </i>
    <i t="grand">
      <x/>
    </i>
  </rowItems>
  <colFields count="1">
    <field x="4"/>
  </colFields>
  <colItems count="3">
    <i>
      <x/>
    </i>
    <i>
      <x v="1"/>
    </i>
    <i t="grand">
      <x/>
    </i>
  </colItems>
  <dataFields count="1">
    <dataField name="Average of AMOUNT" fld="3" subtotal="average" baseField="5" baseItem="0" numFmtId="2"/>
  </dataFields>
  <formats count="1">
    <format dxfId="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C512A1-2CBD-410B-84D1-C6C736533DF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9">
    <pivotField showAll="0"/>
    <pivotField showAll="0"/>
    <pivotField showAll="0"/>
    <pivotField dataField="1" showAll="0"/>
    <pivotField showAll="0"/>
    <pivotField axis="axisRow" showAll="0">
      <items count="3">
        <item x="0"/>
        <item x="1"/>
        <item t="default"/>
      </items>
    </pivotField>
    <pivotField showAll="0"/>
    <pivotField showAll="0"/>
    <pivotField showAll="0"/>
  </pivotFields>
  <rowFields count="1">
    <field x="5"/>
  </rowFields>
  <rowItems count="3">
    <i>
      <x/>
    </i>
    <i>
      <x v="1"/>
    </i>
    <i t="grand">
      <x/>
    </i>
  </rowItems>
  <colItems count="1">
    <i/>
  </colItems>
  <dataFields count="1">
    <dataField name="Average of AMOUNT" fld="3" subtotal="average" baseField="5" baseItem="0" numFmtId="2"/>
  </dataFields>
  <formats count="1">
    <format dxfId="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10E541-EADF-4C0B-A6DE-4F8F015CBCD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5">
    <pivotField axis="axisRow" showAll="0" sortType="ascending">
      <items count="201">
        <item x="95"/>
        <item x="38"/>
        <item x="188"/>
        <item x="169"/>
        <item x="179"/>
        <item h="1" x="26"/>
        <item h="1" x="57"/>
        <item h="1" x="165"/>
        <item h="1" x="51"/>
        <item h="1" x="72"/>
        <item h="1" x="19"/>
        <item h="1" x="10"/>
        <item h="1" x="175"/>
        <item h="1" x="47"/>
        <item h="1" x="98"/>
        <item h="1" x="74"/>
        <item h="1" x="18"/>
        <item h="1" x="121"/>
        <item h="1" x="24"/>
        <item h="1" x="20"/>
        <item h="1" x="64"/>
        <item h="1" x="61"/>
        <item h="1" x="113"/>
        <item h="1" x="170"/>
        <item h="1" x="120"/>
        <item h="1" x="145"/>
        <item h="1" x="126"/>
        <item h="1" x="111"/>
        <item h="1" x="49"/>
        <item h="1" x="149"/>
        <item h="1" x="37"/>
        <item h="1" x="35"/>
        <item h="1" x="13"/>
        <item h="1" x="115"/>
        <item h="1" x="42"/>
        <item h="1" x="140"/>
        <item h="1" x="191"/>
        <item h="1" x="146"/>
        <item h="1" x="106"/>
        <item h="1" x="164"/>
        <item h="1" x="60"/>
        <item h="1" x="189"/>
        <item h="1" x="43"/>
        <item h="1" x="198"/>
        <item h="1" x="160"/>
        <item h="1" x="148"/>
        <item h="1" x="40"/>
        <item h="1" x="62"/>
        <item h="1" x="41"/>
        <item h="1" x="154"/>
        <item h="1" x="176"/>
        <item h="1" x="75"/>
        <item h="1" x="17"/>
        <item h="1" x="87"/>
        <item h="1" x="8"/>
        <item h="1" x="131"/>
        <item h="1" x="137"/>
        <item h="1" x="155"/>
        <item h="1" x="101"/>
        <item h="1" x="78"/>
        <item h="1" x="23"/>
        <item h="1" x="127"/>
        <item h="1" x="190"/>
        <item h="1" x="171"/>
        <item h="1" x="71"/>
        <item h="1" x="89"/>
        <item h="1" x="65"/>
        <item h="1" x="73"/>
        <item h="1" x="33"/>
        <item h="1" x="45"/>
        <item h="1" x="46"/>
        <item h="1" x="125"/>
        <item h="1" x="70"/>
        <item h="1" x="1"/>
        <item h="1" x="162"/>
        <item h="1" x="161"/>
        <item h="1" x="181"/>
        <item h="1" x="21"/>
        <item h="1" x="110"/>
        <item h="1" x="97"/>
        <item h="1" x="142"/>
        <item h="1" x="53"/>
        <item h="1" x="50"/>
        <item h="1" x="193"/>
        <item h="1" x="184"/>
        <item h="1" x="147"/>
        <item h="1" x="187"/>
        <item h="1" x="5"/>
        <item h="1" x="67"/>
        <item h="1" x="133"/>
        <item h="1" x="90"/>
        <item h="1" x="135"/>
        <item h="1" x="178"/>
        <item h="1" x="152"/>
        <item h="1" x="143"/>
        <item h="1" x="183"/>
        <item h="1" x="92"/>
        <item h="1" x="79"/>
        <item h="1" x="192"/>
        <item h="1" x="180"/>
        <item h="1" x="109"/>
        <item h="1" x="157"/>
        <item h="1" x="196"/>
        <item h="1" x="27"/>
        <item h="1" x="94"/>
        <item h="1" x="48"/>
        <item h="1" x="88"/>
        <item h="1" x="2"/>
        <item h="1" x="0"/>
        <item h="1" x="22"/>
        <item h="1" x="25"/>
        <item h="1" x="139"/>
        <item h="1" x="30"/>
        <item h="1" x="168"/>
        <item h="1" x="108"/>
        <item h="1" x="122"/>
        <item h="1" x="124"/>
        <item h="1" x="59"/>
        <item h="1" x="150"/>
        <item h="1" x="96"/>
        <item h="1" x="105"/>
        <item h="1" x="134"/>
        <item h="1" x="172"/>
        <item h="1" x="83"/>
        <item h="1" x="130"/>
        <item h="1" x="159"/>
        <item h="1" x="138"/>
        <item h="1" x="103"/>
        <item h="1" x="141"/>
        <item h="1" x="107"/>
        <item h="1" x="29"/>
        <item h="1" x="158"/>
        <item h="1" x="86"/>
        <item h="1" x="136"/>
        <item h="1" x="76"/>
        <item h="1" x="100"/>
        <item h="1" x="58"/>
        <item h="1" x="104"/>
        <item h="1" x="119"/>
        <item h="1" x="153"/>
        <item h="1" x="55"/>
        <item h="1" x="85"/>
        <item h="1" x="123"/>
        <item h="1" x="3"/>
        <item h="1" x="173"/>
        <item h="1" x="112"/>
        <item h="1" x="166"/>
        <item h="1" x="129"/>
        <item h="1" x="36"/>
        <item h="1" x="52"/>
        <item h="1" x="91"/>
        <item h="1" x="7"/>
        <item h="1" x="9"/>
        <item h="1" x="6"/>
        <item h="1" x="167"/>
        <item h="1" x="80"/>
        <item h="1" x="197"/>
        <item h="1" x="186"/>
        <item h="1" x="82"/>
        <item h="1" x="128"/>
        <item h="1" x="93"/>
        <item h="1" x="44"/>
        <item h="1" x="63"/>
        <item h="1" x="11"/>
        <item h="1" x="31"/>
        <item h="1" x="194"/>
        <item h="1" x="195"/>
        <item h="1" x="28"/>
        <item h="1" x="117"/>
        <item h="1" x="118"/>
        <item h="1" x="174"/>
        <item h="1" x="32"/>
        <item h="1" x="102"/>
        <item h="1" x="156"/>
        <item h="1" x="15"/>
        <item h="1" x="99"/>
        <item h="1" x="177"/>
        <item h="1" x="144"/>
        <item h="1" x="12"/>
        <item h="1" x="77"/>
        <item h="1" x="54"/>
        <item h="1" x="56"/>
        <item h="1" x="84"/>
        <item h="1" x="69"/>
        <item h="1" x="34"/>
        <item h="1" x="185"/>
        <item h="1" x="16"/>
        <item h="1" x="114"/>
        <item h="1" x="81"/>
        <item h="1" x="163"/>
        <item h="1" x="199"/>
        <item h="1" x="132"/>
        <item h="1" x="66"/>
        <item h="1" x="68"/>
        <item h="1" x="39"/>
        <item h="1" x="116"/>
        <item h="1" x="182"/>
        <item h="1" x="4"/>
        <item h="1" x="14"/>
        <item h="1" x="151"/>
        <item t="default"/>
      </items>
    </pivotField>
    <pivotField dataField="1" showAll="0"/>
    <pivotField showAll="0"/>
    <pivotField showAll="0"/>
    <pivotField showAll="0"/>
  </pivotFields>
  <rowFields count="1">
    <field x="0"/>
  </rowFields>
  <rowItems count="6">
    <i>
      <x/>
    </i>
    <i>
      <x v="1"/>
    </i>
    <i>
      <x v="2"/>
    </i>
    <i>
      <x v="3"/>
    </i>
    <i>
      <x v="4"/>
    </i>
    <i t="grand">
      <x/>
    </i>
  </rowItems>
  <colItems count="1">
    <i/>
  </colItems>
  <dataFields count="1">
    <dataField name="Count of Shipment_Sh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528843-A3A9-485E-BF3D-09165026AD9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04" firstHeaderRow="1" firstDataRow="1" firstDataCol="1"/>
  <pivotFields count="5">
    <pivotField axis="axisRow" showAll="0">
      <items count="201">
        <item x="95"/>
        <item x="38"/>
        <item x="188"/>
        <item x="169"/>
        <item x="179"/>
        <item x="26"/>
        <item x="57"/>
        <item x="165"/>
        <item x="51"/>
        <item x="72"/>
        <item x="19"/>
        <item x="10"/>
        <item x="175"/>
        <item x="47"/>
        <item x="98"/>
        <item x="74"/>
        <item x="18"/>
        <item x="121"/>
        <item x="24"/>
        <item x="20"/>
        <item x="64"/>
        <item x="61"/>
        <item x="113"/>
        <item x="170"/>
        <item x="120"/>
        <item x="145"/>
        <item x="126"/>
        <item x="111"/>
        <item x="49"/>
        <item x="149"/>
        <item x="37"/>
        <item x="35"/>
        <item x="13"/>
        <item x="115"/>
        <item x="42"/>
        <item x="140"/>
        <item x="191"/>
        <item x="146"/>
        <item x="106"/>
        <item x="164"/>
        <item x="60"/>
        <item x="189"/>
        <item x="43"/>
        <item x="198"/>
        <item x="160"/>
        <item x="148"/>
        <item x="40"/>
        <item x="62"/>
        <item x="41"/>
        <item x="154"/>
        <item x="176"/>
        <item x="75"/>
        <item x="17"/>
        <item x="87"/>
        <item x="8"/>
        <item x="131"/>
        <item x="137"/>
        <item x="155"/>
        <item x="101"/>
        <item x="78"/>
        <item x="23"/>
        <item x="127"/>
        <item x="190"/>
        <item x="171"/>
        <item x="71"/>
        <item x="89"/>
        <item x="65"/>
        <item x="73"/>
        <item x="33"/>
        <item x="45"/>
        <item x="46"/>
        <item x="125"/>
        <item x="70"/>
        <item x="1"/>
        <item x="162"/>
        <item x="161"/>
        <item x="181"/>
        <item x="21"/>
        <item x="110"/>
        <item x="97"/>
        <item x="142"/>
        <item x="53"/>
        <item x="50"/>
        <item x="193"/>
        <item x="184"/>
        <item x="147"/>
        <item x="187"/>
        <item x="5"/>
        <item x="67"/>
        <item x="133"/>
        <item x="90"/>
        <item x="135"/>
        <item x="178"/>
        <item x="152"/>
        <item x="143"/>
        <item x="183"/>
        <item x="92"/>
        <item x="79"/>
        <item x="192"/>
        <item x="180"/>
        <item x="109"/>
        <item x="157"/>
        <item x="196"/>
        <item x="27"/>
        <item x="94"/>
        <item x="48"/>
        <item x="88"/>
        <item x="2"/>
        <item x="0"/>
        <item x="22"/>
        <item x="25"/>
        <item x="139"/>
        <item x="30"/>
        <item x="168"/>
        <item x="108"/>
        <item x="122"/>
        <item x="124"/>
        <item x="59"/>
        <item x="150"/>
        <item x="96"/>
        <item x="105"/>
        <item x="134"/>
        <item x="172"/>
        <item x="83"/>
        <item x="130"/>
        <item x="159"/>
        <item x="138"/>
        <item x="103"/>
        <item x="141"/>
        <item x="107"/>
        <item x="29"/>
        <item x="158"/>
        <item x="86"/>
        <item x="136"/>
        <item x="76"/>
        <item x="100"/>
        <item x="58"/>
        <item x="104"/>
        <item x="119"/>
        <item x="153"/>
        <item x="55"/>
        <item x="85"/>
        <item x="123"/>
        <item x="3"/>
        <item x="173"/>
        <item x="112"/>
        <item x="166"/>
        <item x="129"/>
        <item x="36"/>
        <item x="52"/>
        <item x="91"/>
        <item x="7"/>
        <item x="9"/>
        <item x="6"/>
        <item x="167"/>
        <item x="80"/>
        <item x="197"/>
        <item x="186"/>
        <item x="82"/>
        <item x="128"/>
        <item x="93"/>
        <item x="44"/>
        <item x="63"/>
        <item x="11"/>
        <item x="31"/>
        <item x="194"/>
        <item x="195"/>
        <item x="28"/>
        <item x="117"/>
        <item x="118"/>
        <item x="174"/>
        <item x="32"/>
        <item x="102"/>
        <item x="156"/>
        <item x="15"/>
        <item x="99"/>
        <item x="177"/>
        <item x="144"/>
        <item x="12"/>
        <item x="77"/>
        <item x="54"/>
        <item x="56"/>
        <item x="84"/>
        <item x="69"/>
        <item x="34"/>
        <item x="185"/>
        <item x="16"/>
        <item x="114"/>
        <item x="81"/>
        <item x="163"/>
        <item x="199"/>
        <item x="132"/>
        <item x="66"/>
        <item x="68"/>
        <item x="39"/>
        <item x="116"/>
        <item x="182"/>
        <item x="4"/>
        <item x="14"/>
        <item x="151"/>
        <item t="default"/>
      </items>
    </pivotField>
    <pivotField dataField="1" showAll="0"/>
    <pivotField showAll="0"/>
    <pivotField showAll="0"/>
    <pivotField showAll="0"/>
  </pivotFields>
  <rowFields count="1">
    <field x="0"/>
  </rowFields>
  <rowItems count="2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t="grand">
      <x/>
    </i>
  </rowItems>
  <colItems count="1">
    <i/>
  </colItems>
  <dataFields count="1">
    <dataField name="Count of Shipment_Sh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6AFF335-DFF8-47E5-92C5-DA22E774FBB1}"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5">
    <pivotField showAll="0"/>
    <pivotField showAll="0"/>
    <pivotField showAll="0"/>
    <pivotField dataField="1" showAll="0"/>
    <pivotField axis="axisRow" showAll="0">
      <items count="28">
        <item h="1" x="18"/>
        <item h="1" x="17"/>
        <item h="1" x="4"/>
        <item h="1" x="22"/>
        <item h="1" x="1"/>
        <item h="1" x="19"/>
        <item h="1" x="26"/>
        <item h="1" x="21"/>
        <item h="1" x="25"/>
        <item h="1" x="23"/>
        <item h="1" x="11"/>
        <item h="1" x="6"/>
        <item x="9"/>
        <item h="1" x="14"/>
        <item h="1" x="13"/>
        <item h="1" x="15"/>
        <item h="1" x="0"/>
        <item h="1" x="24"/>
        <item h="1" x="7"/>
        <item h="1" x="8"/>
        <item h="1" x="20"/>
        <item h="1" x="5"/>
        <item h="1" x="16"/>
        <item h="1" x="12"/>
        <item h="1" x="2"/>
        <item h="1" x="10"/>
        <item h="1" x="3"/>
        <item t="default"/>
      </items>
    </pivotField>
  </pivotFields>
  <rowFields count="1">
    <field x="4"/>
  </rowFields>
  <rowItems count="2">
    <i>
      <x v="12"/>
    </i>
    <i t="grand">
      <x/>
    </i>
  </rowItems>
  <colItems count="1">
    <i/>
  </colItems>
  <dataFields count="1">
    <dataField name="Average of Shipment_charges" fld="3" subtotal="average" baseField="4" baseItem="1" numFmtId="2"/>
  </dataFields>
  <formats count="1">
    <format dxfId="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7" connectionId="7" xr16:uid="{52B4323A-374E-4730-8BEE-4F21637D51AD}" autoFormatId="16" applyNumberFormats="0" applyBorderFormats="0" applyFontFormats="0" applyPatternFormats="0" applyAlignmentFormats="0" applyWidthHeightFormats="0">
  <queryTableRefresh nextId="5">
    <queryTableFields count="4">
      <queryTableField id="1" name="SH_ID" tableColumnId="1"/>
      <queryTableField id="2" name="Current_Status" tableColumnId="2"/>
      <queryTableField id="3" name="Sent_date" tableColumnId="3"/>
      <queryTableField id="4" name="Delivery_dat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6" connectionId="6" xr16:uid="{329C70B4-09C8-4ED1-9B8C-ABC12429BB41}" autoFormatId="16" applyNumberFormats="0" applyBorderFormats="0" applyFontFormats="0" applyPatternFormats="0" applyAlignmentFormats="0" applyWidthHeightFormats="0">
  <queryTableRefresh nextId="16" unboundColumnsRight="6">
    <queryTableFields count="15">
      <queryTableField id="1" name="SH_ID" tableColumnId="1"/>
      <queryTableField id="2" name="C_ID" tableColumnId="2"/>
      <queryTableField id="3" name="SH_CONTENT" tableColumnId="3"/>
      <queryTableField id="4" name="SH_DOMAIN" tableColumnId="4"/>
      <queryTableField id="5" name="SER_TYPE" tableColumnId="5"/>
      <queryTableField id="6" name="SH_WEIGHT" tableColumnId="6"/>
      <queryTableField id="7" name="SH_CHARGES" tableColumnId="7"/>
      <queryTableField id="8" name="SR_ADDR" tableColumnId="8"/>
      <queryTableField id="9" name="DS_ADDR"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5" xr16:uid="{D2F9D240-7785-448B-A8D9-24E8A294D0A6}" autoFormatId="16" applyNumberFormats="0" applyBorderFormats="0" applyFontFormats="0" applyPatternFormats="0" applyAlignmentFormats="0" applyWidthHeightFormats="0">
  <queryTableRefresh nextId="10" unboundColumnsRight="2">
    <queryTableFields count="9">
      <queryTableField id="1" name="Payment_ID" tableColumnId="1"/>
      <queryTableField id="2" name="C_ID" tableColumnId="2"/>
      <queryTableField id="3" name="SH_ID" tableColumnId="3"/>
      <queryTableField id="4" name="AMOUNT" tableColumnId="4"/>
      <queryTableField id="5" name="Payment_Status" tableColumnId="5"/>
      <queryTableField id="6" name="Payment_Mode" tableColumnId="6"/>
      <queryTableField id="7" name="Payment_Date" tableColumnId="7"/>
      <queryTableField id="8" dataBound="0" tableColumnId="8"/>
      <queryTableField id="9" dataBound="0"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4" xr16:uid="{EC903509-C227-45D9-A73B-B02CCB8EB657}" autoFormatId="16" applyNumberFormats="0" applyBorderFormats="0" applyFontFormats="0" applyPatternFormats="0" applyAlignmentFormats="0" applyWidthHeightFormats="0">
  <queryTableRefresh nextId="4">
    <queryTableFields count="3">
      <queryTableField id="1" name="M_ID" tableColumnId="1"/>
      <queryTableField id="2" name="Start_date" tableColumnId="2"/>
      <queryTableField id="3" name="End_date"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3" xr16:uid="{A5F9B312-DBD0-4942-839F-24E62DC00534}" autoFormatId="16" applyNumberFormats="0" applyBorderFormats="0" applyFontFormats="0" applyPatternFormats="0" applyAlignmentFormats="0" applyWidthHeightFormats="0">
  <queryTableRefresh nextId="6" unboundColumnsRight="2">
    <queryTableFields count="5">
      <queryTableField id="1" name="Employee_E_ID" tableColumnId="1"/>
      <queryTableField id="2" name="Shipment_Sh_ID" tableColumnId="2"/>
      <queryTableField id="3" name="Status_Sh_ID" tableColumnId="3"/>
      <queryTableField id="4" dataBound="0" tableColumnId="4"/>
      <queryTableField id="5" dataBound="0"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2" xr16:uid="{11866A1F-72DD-4791-A55C-08072577A22D}" autoFormatId="16" applyNumberFormats="0" applyBorderFormats="0" applyFontFormats="0" applyPatternFormats="0" applyAlignmentFormats="0" applyWidthHeightFormats="0">
  <queryTableRefresh nextId="7">
    <queryTableFields count="6">
      <queryTableField id="1" name="E_ID" tableColumnId="1"/>
      <queryTableField id="2" name="E_NAME" tableColumnId="2"/>
      <queryTableField id="3" name="E_DESIGNATION" tableColumnId="3"/>
      <queryTableField id="4" name="E_ADDR" tableColumnId="4"/>
      <queryTableField id="5" name="E_BRANCH" tableColumnId="5"/>
      <queryTableField id="6" name="E_CONT_NO" tableColumnId="6"/>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1" xr16:uid="{DC66CDE0-902B-4F13-B89F-B07B9348DFB2}" autoFormatId="16" applyNumberFormats="0" applyBorderFormats="0" applyFontFormats="0" applyPatternFormats="0" applyAlignmentFormats="0" applyWidthHeightFormats="0">
  <queryTableRefresh nextId="14" unboundColumnsRight="5">
    <queryTableFields count="12">
      <queryTableField id="1" name="C_ID" tableColumnId="1"/>
      <queryTableField id="2" name="M_ID" tableColumnId="2"/>
      <queryTableField id="3" name="C_NAME" tableColumnId="3"/>
      <queryTableField id="4" name="C_EMAIL_ID" tableColumnId="4"/>
      <queryTableField id="5" name="C_TYPE" tableColumnId="5"/>
      <queryTableField id="6" name="C_ADDR" tableColumnId="6"/>
      <queryTableField id="7" name="C_CONT_NO" tableColumnId="7"/>
      <queryTableField id="8" dataBound="0" tableColumnId="8"/>
      <queryTableField id="9" dataBound="0" tableColumnId="9"/>
      <queryTableField id="10" dataBound="0" tableColumnId="10"/>
      <queryTableField id="11" dataBound="0" tableColumnId="11"/>
      <queryTableField id="13" dataBound="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ignation" xr10:uid="{F161B74F-DBC7-4FDA-96FA-413E64532424}" sourceName="Designation">
  <pivotTables>
    <pivotTable tabId="21" name="PivotTable10"/>
  </pivotTables>
  <data>
    <tabular pivotCacheId="1550595014">
      <items count="27">
        <i x="18"/>
        <i x="17"/>
        <i x="4"/>
        <i x="22"/>
        <i x="1"/>
        <i x="19"/>
        <i x="26"/>
        <i x="21"/>
        <i x="25"/>
        <i x="23"/>
        <i x="11"/>
        <i x="6"/>
        <i x="9" s="1"/>
        <i x="14"/>
        <i x="13"/>
        <i x="15"/>
        <i x="0"/>
        <i x="24"/>
        <i x="7"/>
        <i x="8"/>
        <i x="20"/>
        <i x="5"/>
        <i x="16"/>
        <i x="12"/>
        <i x="2"/>
        <i x="1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_DOMAIN" xr10:uid="{DADCF6A2-3878-467F-AEAA-786637386C9D}" sourceName="SH_DOMAIN">
  <pivotTables>
    <pivotTable tabId="23" name="PivotTable11"/>
  </pivotTables>
  <data>
    <tabular pivotCacheId="1530334536">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_TYPE" xr10:uid="{FDE05B88-128E-4372-A699-CB03ED92BBA9}" sourceName="SER_TYPE">
  <pivotTables>
    <pivotTable tabId="23" name="PivotTable11"/>
  </pivotTables>
  <data>
    <tabular pivotCacheId="1530334536">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_DOMAIN" xr10:uid="{54CA5E5F-2B36-499B-A7CC-A9C3591C8643}" cache="Slicer_SH_DOMAIN" caption="SH_DOMAIN" rowHeight="257175"/>
  <slicer name="SER_TYPE" xr10:uid="{861511F6-0F71-4E26-A568-1FD325B2C4D4}" cache="Slicer_SER_TYPE" caption="SER_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signation" xr10:uid="{0ECB0659-3DC5-440A-AB73-E18E19BB5C96}" cache="Slicer_Designation" caption="Designation" startItem="7"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AD8396A-0C5C-4306-A7F5-051EAF82E2DF}" name="Status" displayName="Status" ref="A1:D201" tableType="queryTable" totalsRowShown="0">
  <autoFilter ref="A1:D201" xr:uid="{1AD8396A-0C5C-4306-A7F5-051EAF82E2DF}"/>
  <tableColumns count="4">
    <tableColumn id="1" xr3:uid="{E63E5FC3-9B08-48C1-A00E-31A7DA3D7CC6}" uniqueName="1" name="SH_ID" queryTableFieldId="1"/>
    <tableColumn id="2" xr3:uid="{F69D2B17-4E29-4B6F-9108-1643B5750492}" uniqueName="2" name="Current_Status" queryTableFieldId="2" dataDxfId="73"/>
    <tableColumn id="3" xr3:uid="{003D73A9-F4C1-4E50-87CE-A59E69ED771A}" uniqueName="3" name="Sent_date" queryTableFieldId="3" dataDxfId="72"/>
    <tableColumn id="4" xr3:uid="{CD31C905-528A-403F-BCEC-DB877521913C}" uniqueName="4" name="Delivery_date" queryTableFieldId="4" dataDxfId="7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6470826-03C4-4701-8F7E-BCE4E2796EBF}" name="Shipment_Details" displayName="Shipment_Details" ref="A1:O201" tableType="queryTable" totalsRowShown="0">
  <autoFilter ref="A1:O201" xr:uid="{86470826-03C4-4701-8F7E-BCE4E2796EBF}"/>
  <tableColumns count="15">
    <tableColumn id="1" xr3:uid="{DE5048EA-370A-4276-A875-07699A774CF9}" uniqueName="1" name="SH_ID" queryTableFieldId="1"/>
    <tableColumn id="2" xr3:uid="{D2EC6AEC-12F1-44CF-877B-EE8192EC0BFD}" uniqueName="2" name="C_ID" queryTableFieldId="2"/>
    <tableColumn id="3" xr3:uid="{89EB1376-7C12-43CB-A392-A5121E4863DE}" uniqueName="3" name="SH_CONTENT" queryTableFieldId="3" dataDxfId="67"/>
    <tableColumn id="4" xr3:uid="{46D5C5E7-743D-4FEF-93C3-8786260E8812}" uniqueName="4" name="SH_DOMAIN" queryTableFieldId="4" dataDxfId="66"/>
    <tableColumn id="5" xr3:uid="{E932CEEE-449C-4F30-B604-D3D82F52961E}" uniqueName="5" name="SER_TYPE" queryTableFieldId="5" dataDxfId="65"/>
    <tableColumn id="6" xr3:uid="{22954593-24D4-43A6-B93B-E0FAC0A6D1AB}" uniqueName="6" name="SH_WEIGHT" queryTableFieldId="6"/>
    <tableColumn id="7" xr3:uid="{D7897CAB-F175-46B0-BF92-EAD0B4DFC9A9}" uniqueName="7" name="SH_CHARGES" queryTableFieldId="7"/>
    <tableColumn id="8" xr3:uid="{7FAB508B-37F1-4D20-9662-A35EF11FCC41}" uniqueName="8" name="SR_ADDR" queryTableFieldId="8" dataDxfId="64"/>
    <tableColumn id="9" xr3:uid="{C3B8FB89-E1FA-49C4-A967-A372A0D51D73}" uniqueName="9" name="DS_ADDR" queryTableFieldId="9" dataDxfId="63"/>
    <tableColumn id="10" xr3:uid="{D801C056-666E-4281-99B1-D851816953E6}" uniqueName="10" name="Current_Status" queryTableFieldId="10" dataDxfId="62">
      <calculatedColumnFormula>_xlfn.XLOOKUP(A2,Status!A:A,Status!B:B)</calculatedColumnFormula>
    </tableColumn>
    <tableColumn id="11" xr3:uid="{DA134F72-E745-41DC-9F1B-8BC3EDE671C5}" uniqueName="11" name="Sent_Date" queryTableFieldId="11" dataDxfId="61">
      <calculatedColumnFormula>_xlfn.XLOOKUP(A2,Status!A:A,Status!C:C)</calculatedColumnFormula>
    </tableColumn>
    <tableColumn id="12" xr3:uid="{AD125777-352B-45F9-B7D4-5768CA3DEF64}" uniqueName="12" name="Delivery_Date" queryTableFieldId="12" dataDxfId="60">
      <calculatedColumnFormula>_xlfn.XLOOKUP(A2,Status!A:A,Status!D:D)</calculatedColumnFormula>
    </tableColumn>
    <tableColumn id="13" xr3:uid="{BF4C2137-0B01-4E7F-B1F7-48F86D974819}" uniqueName="13" name="Weight_Category" queryTableFieldId="13" dataDxfId="59">
      <calculatedColumnFormula>IF(F2&gt;500,"Heavy","Light")</calculatedColumnFormula>
    </tableColumn>
    <tableColumn id="14" xr3:uid="{1C75A26F-5E64-4619-8157-3F6F04472E09}" uniqueName="14" name="Delivery_Time" queryTableFieldId="14" dataDxfId="58">
      <calculatedColumnFormula>IF(OR(L2=0,K2=0),"",ABS(L2-K2))</calculatedColumnFormula>
    </tableColumn>
    <tableColumn id="15" xr3:uid="{FEAF25AF-7BB5-4974-B6EC-C2D3AE77B61B}" uniqueName="15" name="Efficiency" queryTableFieldId="15" dataDxfId="57">
      <calculatedColumnFormula>F2/G2</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6C7EABA-29E5-4503-9D5E-87C396A2CE8E}" name="Payment_Details" displayName="Payment_Details" ref="A1:I201" tableType="queryTable" totalsRowShown="0">
  <autoFilter ref="A1:I201" xr:uid="{D6C7EABA-29E5-4503-9D5E-87C396A2CE8E}"/>
  <tableColumns count="9">
    <tableColumn id="1" xr3:uid="{1605864E-1F7A-4C64-8EA9-0B2ADD628458}" uniqueName="1" name="Payment_ID" queryTableFieldId="1" dataDxfId="54"/>
    <tableColumn id="2" xr3:uid="{09397608-5CA0-4966-B721-F26D010EA265}" uniqueName="2" name="C_ID" queryTableFieldId="2"/>
    <tableColumn id="3" xr3:uid="{E4BA5A13-D796-4762-B86C-2C578E43085A}" uniqueName="3" name="SH_ID" queryTableFieldId="3"/>
    <tableColumn id="4" xr3:uid="{9A0C5222-05A0-4334-AC62-C5D80DB2C3C7}" uniqueName="4" name="AMOUNT" queryTableFieldId="4"/>
    <tableColumn id="5" xr3:uid="{09332B76-7C13-4622-8E6B-8127597759EE}" uniqueName="5" name="Payment_Status" queryTableFieldId="5" dataDxfId="53"/>
    <tableColumn id="6" xr3:uid="{10AC9E7F-11B3-4AED-8BCC-9924FC17E73D}" uniqueName="6" name="Payment_Mode" queryTableFieldId="6" dataDxfId="52"/>
    <tableColumn id="7" xr3:uid="{76FDC73C-C5CF-4F4A-A4A4-1C6B8C1A4A49}" uniqueName="7" name="Payment_Date" queryTableFieldId="7" dataDxfId="51"/>
    <tableColumn id="8" xr3:uid="{F0107640-1A7A-4919-99EF-3651E2A2CC45}" uniqueName="8" name="Payment_Category" queryTableFieldId="8" dataDxfId="50">
      <calculatedColumnFormula>IF(D2&gt;7000,"High",IF(D2&gt;3000,"Medium","Low"))</calculatedColumnFormula>
    </tableColumn>
    <tableColumn id="9" xr3:uid="{1E4D7AEB-8566-4EF1-BBCD-A49218FF6AB2}" uniqueName="9" name="Total_Customer_Payment" queryTableFieldId="9" dataDxfId="49">
      <calculatedColumnFormula>SUMIF(B:B,B2,D:D)</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BB2537C-2FDD-4A6E-82D2-BFAB33A192C3}" name="Membership" displayName="Membership" ref="A1:C201" tableType="queryTable" totalsRowShown="0">
  <autoFilter ref="A1:C201" xr:uid="{6BB2537C-2FDD-4A6E-82D2-BFAB33A192C3}"/>
  <tableColumns count="3">
    <tableColumn id="1" xr3:uid="{9D4F970C-1313-4032-ACDB-B61538A06A00}" uniqueName="1" name="M_ID" queryTableFieldId="1"/>
    <tableColumn id="2" xr3:uid="{F8344ECC-3BC2-4D6B-92FD-01C9F99175C0}" uniqueName="2" name="Start_date" queryTableFieldId="2" dataDxfId="48"/>
    <tableColumn id="3" xr3:uid="{4A183536-AF47-42AD-AF69-6EA5EB63D119}" uniqueName="3" name="End_date" queryTableFieldId="3" dataDxfId="4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CDE95D9-CE0A-4EDA-A04C-943FA9A5375B}" name="employee_manages_shipment" displayName="employee_manages_shipment" ref="A1:E201" tableType="queryTable" totalsRowShown="0">
  <autoFilter ref="A1:E201" xr:uid="{FCDE95D9-CE0A-4EDA-A04C-943FA9A5375B}"/>
  <tableColumns count="5">
    <tableColumn id="1" xr3:uid="{6352B494-F622-4F8C-B649-9B985AD08797}" uniqueName="1" name="Employee_E_ID" queryTableFieldId="1"/>
    <tableColumn id="2" xr3:uid="{2FAB142A-0400-4873-96C1-7A1BBA8B2DB9}" uniqueName="2" name="Shipment_Sh_ID" queryTableFieldId="2"/>
    <tableColumn id="3" xr3:uid="{C06C40FC-2DE4-4266-82AD-3E87B9C36CC0}" uniqueName="3" name="Status_Sh_ID" queryTableFieldId="3"/>
    <tableColumn id="4" xr3:uid="{A4878C4C-BF18-459E-AC6F-A200C96AB33E}" uniqueName="4" name="Shipment_charges" queryTableFieldId="4" dataDxfId="46">
      <calculatedColumnFormula>VLOOKUP(B2,Shipment_Details!A:G,7,FALSE)</calculatedColumnFormula>
    </tableColumn>
    <tableColumn id="5" xr3:uid="{D3D778EC-EA0A-4C79-A00E-8B5CE2407A2C}" uniqueName="5" name="Designation" queryTableFieldId="5" dataDxfId="45">
      <calculatedColumnFormula>VLOOKUP(A2,Employee_Details!A:C,3,FALSE)</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B3F5CB-15D0-4C9D-AB82-2F7C55891148}" name="Employee_Details" displayName="Employee_Details" ref="A1:F201" tableType="queryTable" totalsRowShown="0">
  <autoFilter ref="A1:F201" xr:uid="{0EB3F5CB-15D0-4C9D-AB82-2F7C55891148}"/>
  <tableColumns count="6">
    <tableColumn id="1" xr3:uid="{DE5FCB1C-4026-4507-A418-E5B86E9170C7}" uniqueName="1" name="E_ID" queryTableFieldId="1"/>
    <tableColumn id="2" xr3:uid="{41AA57EB-E690-4A75-9907-8299245A13F0}" uniqueName="2" name="E_NAME" queryTableFieldId="2" dataDxfId="44"/>
    <tableColumn id="3" xr3:uid="{26BC9141-8BDF-4521-9203-C0636295797B}" uniqueName="3" name="E_DESIGNATION" queryTableFieldId="3" dataDxfId="43"/>
    <tableColumn id="4" xr3:uid="{6F5C02DF-AC66-466B-A0BA-AFCCF5D76606}" uniqueName="4" name="E_ADDR" queryTableFieldId="4" dataDxfId="42"/>
    <tableColumn id="5" xr3:uid="{D93E3437-7497-4A6B-9D7E-882061BCBE78}" uniqueName="5" name="E_BRANCH" queryTableFieldId="5" dataDxfId="41"/>
    <tableColumn id="6" xr3:uid="{7772BBAE-C78C-4E10-AB0B-FDCF8A8CB2DB}" uniqueName="6" name="E_CONT_NO" queryTableFieldId="6"/>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AB671D-E439-4E79-8E6F-9D4932DBD12B}" name="Customer" displayName="Customer" ref="A1:L201" tableType="queryTable" totalsRowShown="0">
  <autoFilter ref="A1:L201" xr:uid="{A6AB671D-E439-4E79-8E6F-9D4932DBD12B}"/>
  <tableColumns count="12">
    <tableColumn id="1" xr3:uid="{701B9EC8-BFCC-48C5-B1DF-E656A248C845}" uniqueName="1" name="C_ID" queryTableFieldId="1"/>
    <tableColumn id="2" xr3:uid="{698CE6FF-0ABA-4426-AA52-A7B305831028}" uniqueName="2" name="M_ID" queryTableFieldId="2"/>
    <tableColumn id="3" xr3:uid="{1DB23C77-CB9F-4BDA-B2AC-EF1915CB849C}" uniqueName="3" name="C_NAME" queryTableFieldId="3" dataDxfId="40"/>
    <tableColumn id="4" xr3:uid="{4935FC70-D931-442D-8D13-BB62FAC2A73E}" uniqueName="4" name="C_EMAIL_ID" queryTableFieldId="4" dataDxfId="39"/>
    <tableColumn id="5" xr3:uid="{C5DBAD4F-21D7-4FAC-94DF-18F98E4C9BB1}" uniqueName="5" name="C_TYPE" queryTableFieldId="5" dataDxfId="38"/>
    <tableColumn id="6" xr3:uid="{81017B01-AA70-422C-AE50-A994C7AD9C85}" uniqueName="6" name="C_ADDR" queryTableFieldId="6" dataDxfId="37"/>
    <tableColumn id="7" xr3:uid="{5E6CCA32-E10A-48BD-8401-ED76526E4D3E}" uniqueName="7" name="C_CONT_NO" queryTableFieldId="7"/>
    <tableColumn id="8" xr3:uid="{0B5702D6-21E6-4D53-83D0-CE6A186982D2}" uniqueName="8" name="Clean_Name" queryTableFieldId="8" dataDxfId="36">
      <calculatedColumnFormula>PROPER(Customer[[#This Row],[C_NAME]])</calculatedColumnFormula>
    </tableColumn>
    <tableColumn id="9" xr3:uid="{E1F9C609-F280-4543-8A29-DE1CFF2E0E5B}" uniqueName="9" name="Clean_Email" queryTableFieldId="9" dataDxfId="35">
      <calculatedColumnFormula>LOWER(Customer[[#This Row],[C_EMAIL_ID]])</calculatedColumnFormula>
    </tableColumn>
    <tableColumn id="10" xr3:uid="{0FC63615-E8B8-4560-BB5E-03A84A4E5189}" uniqueName="10" name="Membership_start_date" queryTableFieldId="10" dataDxfId="34">
      <calculatedColumnFormula>_xlfn.XLOOKUP(B2,Membership!A:A,Membership!B:B)</calculatedColumnFormula>
    </tableColumn>
    <tableColumn id="11" xr3:uid="{FA1D8B81-5FB6-4829-9E08-269BEA0FFD18}" uniqueName="11" name="Membership_end_date" queryTableFieldId="11" dataDxfId="33">
      <calculatedColumnFormula>_xlfn.XLOOKUP(B2,Membership!A:A,Membership!C:C)</calculatedColumnFormula>
    </tableColumn>
    <tableColumn id="12" xr3:uid="{A7FA3C4B-C1C1-4828-B19F-D07BD17CE50F}" uniqueName="12" name="Membership_Duration" queryTableFieldId="13" dataDxfId="32">
      <calculatedColumnFormula>DATEDIF(J2,K2,"Y")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6A754-142E-4497-B3B8-96991E0D7D6F}">
  <dimension ref="A1:D201"/>
  <sheetViews>
    <sheetView workbookViewId="0">
      <selection activeCell="G10" sqref="G10"/>
    </sheetView>
  </sheetViews>
  <sheetFormatPr defaultRowHeight="15" x14ac:dyDescent="0.25"/>
  <cols>
    <col min="1" max="1" width="8.7109375" bestFit="1" customWidth="1"/>
    <col min="2" max="2" width="17" bestFit="1" customWidth="1"/>
    <col min="3" max="3" width="12.28515625" bestFit="1" customWidth="1"/>
    <col min="4" max="4" width="15.85546875" bestFit="1" customWidth="1"/>
  </cols>
  <sheetData>
    <row r="1" spans="1:4" x14ac:dyDescent="0.25">
      <c r="A1" t="s">
        <v>975</v>
      </c>
      <c r="B1" t="s">
        <v>1521</v>
      </c>
      <c r="C1" t="s">
        <v>1522</v>
      </c>
      <c r="D1" t="s">
        <v>1523</v>
      </c>
    </row>
    <row r="2" spans="1:4" x14ac:dyDescent="0.25">
      <c r="A2">
        <v>690</v>
      </c>
      <c r="B2" t="s">
        <v>1524</v>
      </c>
      <c r="C2" s="1">
        <v>41757</v>
      </c>
      <c r="D2" s="1">
        <v>41991</v>
      </c>
    </row>
    <row r="3" spans="1:4" x14ac:dyDescent="0.25">
      <c r="A3">
        <v>933</v>
      </c>
      <c r="B3" t="s">
        <v>1524</v>
      </c>
      <c r="C3" s="1">
        <v>35595</v>
      </c>
      <c r="D3" s="1">
        <v>35621</v>
      </c>
    </row>
    <row r="4" spans="1:4" x14ac:dyDescent="0.25">
      <c r="A4">
        <v>261</v>
      </c>
      <c r="B4" t="s">
        <v>1525</v>
      </c>
      <c r="C4" s="1">
        <v>34195</v>
      </c>
      <c r="D4" s="1"/>
    </row>
    <row r="5" spans="1:4" x14ac:dyDescent="0.25">
      <c r="A5">
        <v>445</v>
      </c>
      <c r="B5" t="s">
        <v>1525</v>
      </c>
      <c r="C5" s="1">
        <v>43812</v>
      </c>
      <c r="D5" s="1"/>
    </row>
    <row r="6" spans="1:4" x14ac:dyDescent="0.25">
      <c r="A6">
        <v>722</v>
      </c>
      <c r="B6" t="s">
        <v>1525</v>
      </c>
      <c r="C6" s="1">
        <v>35329</v>
      </c>
      <c r="D6" s="1"/>
    </row>
    <row r="7" spans="1:4" x14ac:dyDescent="0.25">
      <c r="A7">
        <v>129</v>
      </c>
      <c r="B7" t="s">
        <v>1524</v>
      </c>
      <c r="C7" s="1">
        <v>26046</v>
      </c>
      <c r="D7" s="1">
        <v>26238</v>
      </c>
    </row>
    <row r="8" spans="1:4" x14ac:dyDescent="0.25">
      <c r="A8">
        <v>489</v>
      </c>
      <c r="B8" t="s">
        <v>1525</v>
      </c>
      <c r="C8" s="1">
        <v>38707</v>
      </c>
      <c r="D8" s="1"/>
    </row>
    <row r="9" spans="1:4" x14ac:dyDescent="0.25">
      <c r="A9">
        <v>165</v>
      </c>
      <c r="B9" t="s">
        <v>1525</v>
      </c>
      <c r="C9" s="1">
        <v>29039</v>
      </c>
      <c r="D9" s="1"/>
    </row>
    <row r="10" spans="1:4" x14ac:dyDescent="0.25">
      <c r="A10">
        <v>164</v>
      </c>
      <c r="B10" t="s">
        <v>1525</v>
      </c>
      <c r="C10" s="1">
        <v>27879</v>
      </c>
      <c r="D10" s="1"/>
    </row>
    <row r="11" spans="1:4" x14ac:dyDescent="0.25">
      <c r="A11">
        <v>364</v>
      </c>
      <c r="B11" t="s">
        <v>1525</v>
      </c>
      <c r="C11" s="1">
        <v>40971</v>
      </c>
      <c r="D11" s="1"/>
    </row>
    <row r="12" spans="1:4" x14ac:dyDescent="0.25">
      <c r="A12">
        <v>469</v>
      </c>
      <c r="B12" t="s">
        <v>1524</v>
      </c>
      <c r="C12" s="1">
        <v>33287</v>
      </c>
      <c r="D12" s="1">
        <v>33373</v>
      </c>
    </row>
    <row r="13" spans="1:4" x14ac:dyDescent="0.25">
      <c r="A13">
        <v>158</v>
      </c>
      <c r="B13" t="s">
        <v>1524</v>
      </c>
      <c r="C13" s="1">
        <v>27850</v>
      </c>
      <c r="D13" s="1">
        <v>27941</v>
      </c>
    </row>
    <row r="14" spans="1:4" x14ac:dyDescent="0.25">
      <c r="A14">
        <v>337</v>
      </c>
      <c r="B14" t="s">
        <v>1525</v>
      </c>
      <c r="C14" s="1">
        <v>27891</v>
      </c>
      <c r="D14" s="1"/>
    </row>
    <row r="15" spans="1:4" x14ac:dyDescent="0.25">
      <c r="A15">
        <v>634</v>
      </c>
      <c r="B15" t="s">
        <v>1525</v>
      </c>
      <c r="C15" s="1">
        <v>29501</v>
      </c>
      <c r="D15" s="1"/>
    </row>
    <row r="16" spans="1:4" x14ac:dyDescent="0.25">
      <c r="A16">
        <v>577</v>
      </c>
      <c r="B16" t="s">
        <v>1524</v>
      </c>
      <c r="C16" s="1">
        <v>31855</v>
      </c>
      <c r="D16" s="1">
        <v>31998</v>
      </c>
    </row>
    <row r="17" spans="1:4" x14ac:dyDescent="0.25">
      <c r="A17">
        <v>907</v>
      </c>
      <c r="B17" t="s">
        <v>1525</v>
      </c>
      <c r="C17" s="1">
        <v>41478</v>
      </c>
      <c r="D17" s="1"/>
    </row>
    <row r="18" spans="1:4" x14ac:dyDescent="0.25">
      <c r="A18">
        <v>870</v>
      </c>
      <c r="B18" t="s">
        <v>1525</v>
      </c>
      <c r="C18" s="1">
        <v>40239</v>
      </c>
      <c r="D18" s="1"/>
    </row>
    <row r="19" spans="1:4" x14ac:dyDescent="0.25">
      <c r="A19">
        <v>982</v>
      </c>
      <c r="B19" t="s">
        <v>1525</v>
      </c>
      <c r="C19" s="1">
        <v>43025</v>
      </c>
      <c r="D19" s="1"/>
    </row>
    <row r="20" spans="1:4" x14ac:dyDescent="0.25">
      <c r="A20">
        <v>351</v>
      </c>
      <c r="B20" t="s">
        <v>1524</v>
      </c>
      <c r="C20" s="1">
        <v>28128</v>
      </c>
      <c r="D20" s="1">
        <v>28312</v>
      </c>
    </row>
    <row r="21" spans="1:4" x14ac:dyDescent="0.25">
      <c r="A21">
        <v>328</v>
      </c>
      <c r="B21" t="s">
        <v>1524</v>
      </c>
      <c r="C21" s="1">
        <v>35450</v>
      </c>
      <c r="D21" s="1">
        <v>35681</v>
      </c>
    </row>
    <row r="22" spans="1:4" x14ac:dyDescent="0.25">
      <c r="A22">
        <v>242</v>
      </c>
      <c r="B22" t="s">
        <v>1525</v>
      </c>
      <c r="C22" s="1">
        <v>35408</v>
      </c>
      <c r="D22" s="1"/>
    </row>
    <row r="23" spans="1:4" x14ac:dyDescent="0.25">
      <c r="A23">
        <v>421</v>
      </c>
      <c r="B23" t="s">
        <v>1524</v>
      </c>
      <c r="C23" s="1">
        <v>36198</v>
      </c>
      <c r="D23" s="1">
        <v>36224</v>
      </c>
    </row>
    <row r="24" spans="1:4" x14ac:dyDescent="0.25">
      <c r="A24">
        <v>6</v>
      </c>
      <c r="B24" t="s">
        <v>1524</v>
      </c>
      <c r="C24" s="1">
        <v>28192</v>
      </c>
      <c r="D24" s="1">
        <v>28437</v>
      </c>
    </row>
    <row r="25" spans="1:4" x14ac:dyDescent="0.25">
      <c r="A25">
        <v>384</v>
      </c>
      <c r="B25" t="s">
        <v>1525</v>
      </c>
      <c r="C25" s="1">
        <v>26350</v>
      </c>
      <c r="D25" s="1"/>
    </row>
    <row r="26" spans="1:4" x14ac:dyDescent="0.25">
      <c r="A26">
        <v>286</v>
      </c>
      <c r="B26" t="s">
        <v>1524</v>
      </c>
      <c r="C26" s="1">
        <v>38509</v>
      </c>
      <c r="D26" s="1">
        <v>38610</v>
      </c>
    </row>
    <row r="27" spans="1:4" x14ac:dyDescent="0.25">
      <c r="A27">
        <v>892</v>
      </c>
      <c r="B27" t="s">
        <v>1524</v>
      </c>
      <c r="C27" s="1">
        <v>43786</v>
      </c>
      <c r="D27" s="1">
        <v>43811</v>
      </c>
    </row>
    <row r="28" spans="1:4" x14ac:dyDescent="0.25">
      <c r="A28">
        <v>558</v>
      </c>
      <c r="B28" t="s">
        <v>1524</v>
      </c>
      <c r="C28" s="1">
        <v>41574</v>
      </c>
      <c r="D28" s="1">
        <v>41593</v>
      </c>
    </row>
    <row r="29" spans="1:4" x14ac:dyDescent="0.25">
      <c r="A29">
        <v>481</v>
      </c>
      <c r="B29" t="s">
        <v>1525</v>
      </c>
      <c r="C29" s="1">
        <v>38909</v>
      </c>
      <c r="D29" s="1"/>
    </row>
    <row r="30" spans="1:4" x14ac:dyDescent="0.25">
      <c r="A30">
        <v>155</v>
      </c>
      <c r="B30" t="s">
        <v>1525</v>
      </c>
      <c r="C30" s="1">
        <v>37887</v>
      </c>
      <c r="D30" s="1"/>
    </row>
    <row r="31" spans="1:4" x14ac:dyDescent="0.25">
      <c r="A31">
        <v>771</v>
      </c>
      <c r="B31" t="s">
        <v>1524</v>
      </c>
      <c r="C31" s="1">
        <v>41397</v>
      </c>
      <c r="D31" s="1">
        <v>41593</v>
      </c>
    </row>
    <row r="32" spans="1:4" x14ac:dyDescent="0.25">
      <c r="A32">
        <v>945</v>
      </c>
      <c r="B32" t="s">
        <v>1524</v>
      </c>
      <c r="C32" s="1">
        <v>37010</v>
      </c>
      <c r="D32" s="1">
        <v>37113</v>
      </c>
    </row>
    <row r="33" spans="1:4" x14ac:dyDescent="0.25">
      <c r="A33">
        <v>719</v>
      </c>
      <c r="B33" t="s">
        <v>1524</v>
      </c>
      <c r="C33" s="1">
        <v>38739</v>
      </c>
      <c r="D33" s="1">
        <v>38915</v>
      </c>
    </row>
    <row r="34" spans="1:4" x14ac:dyDescent="0.25">
      <c r="A34">
        <v>493</v>
      </c>
      <c r="B34" t="s">
        <v>1525</v>
      </c>
      <c r="C34" s="1">
        <v>34931</v>
      </c>
      <c r="D34" s="1"/>
    </row>
    <row r="35" spans="1:4" x14ac:dyDescent="0.25">
      <c r="A35">
        <v>998</v>
      </c>
      <c r="B35" t="s">
        <v>1524</v>
      </c>
      <c r="C35" s="1">
        <v>41599</v>
      </c>
      <c r="D35" s="1">
        <v>41593</v>
      </c>
    </row>
    <row r="36" spans="1:4" x14ac:dyDescent="0.25">
      <c r="A36">
        <v>968</v>
      </c>
      <c r="B36" t="s">
        <v>1524</v>
      </c>
      <c r="C36" s="1">
        <v>33973</v>
      </c>
      <c r="D36" s="1">
        <v>34183</v>
      </c>
    </row>
    <row r="37" spans="1:4" x14ac:dyDescent="0.25">
      <c r="A37">
        <v>738</v>
      </c>
      <c r="B37" t="s">
        <v>1525</v>
      </c>
      <c r="C37" s="1">
        <v>28387</v>
      </c>
      <c r="D37" s="1"/>
    </row>
    <row r="38" spans="1:4" x14ac:dyDescent="0.25">
      <c r="A38">
        <v>912</v>
      </c>
      <c r="B38" t="s">
        <v>1525</v>
      </c>
      <c r="C38" s="1">
        <v>43829</v>
      </c>
      <c r="D38" s="1"/>
    </row>
    <row r="39" spans="1:4" x14ac:dyDescent="0.25">
      <c r="A39">
        <v>782</v>
      </c>
      <c r="B39" t="s">
        <v>1524</v>
      </c>
      <c r="C39" s="1">
        <v>37499</v>
      </c>
      <c r="D39" s="1">
        <v>37549</v>
      </c>
    </row>
    <row r="40" spans="1:4" x14ac:dyDescent="0.25">
      <c r="A40">
        <v>140</v>
      </c>
      <c r="B40" t="s">
        <v>1524</v>
      </c>
      <c r="C40" s="1">
        <v>38878</v>
      </c>
      <c r="D40" s="1">
        <v>38915</v>
      </c>
    </row>
    <row r="41" spans="1:4" x14ac:dyDescent="0.25">
      <c r="A41">
        <v>702</v>
      </c>
      <c r="B41" t="s">
        <v>1524</v>
      </c>
      <c r="C41" s="1">
        <v>38175</v>
      </c>
      <c r="D41" s="1">
        <v>38311</v>
      </c>
    </row>
    <row r="42" spans="1:4" x14ac:dyDescent="0.25">
      <c r="A42">
        <v>284</v>
      </c>
      <c r="B42" t="s">
        <v>1524</v>
      </c>
      <c r="C42" s="1">
        <v>29988</v>
      </c>
      <c r="D42" s="1">
        <v>30018</v>
      </c>
    </row>
    <row r="43" spans="1:4" x14ac:dyDescent="0.25">
      <c r="A43">
        <v>199</v>
      </c>
      <c r="B43" t="s">
        <v>1525</v>
      </c>
      <c r="C43" s="1">
        <v>39290</v>
      </c>
      <c r="D43" s="1"/>
    </row>
    <row r="44" spans="1:4" x14ac:dyDescent="0.25">
      <c r="A44">
        <v>228</v>
      </c>
      <c r="B44" t="s">
        <v>1524</v>
      </c>
      <c r="C44" s="1">
        <v>34423</v>
      </c>
      <c r="D44" s="1">
        <v>34433</v>
      </c>
    </row>
    <row r="45" spans="1:4" x14ac:dyDescent="0.25">
      <c r="A45">
        <v>908</v>
      </c>
      <c r="B45" t="s">
        <v>1525</v>
      </c>
      <c r="C45" s="1">
        <v>36188</v>
      </c>
      <c r="D45" s="1"/>
    </row>
    <row r="46" spans="1:4" x14ac:dyDescent="0.25">
      <c r="A46">
        <v>594</v>
      </c>
      <c r="B46" t="s">
        <v>1525</v>
      </c>
      <c r="C46" s="1">
        <v>38066</v>
      </c>
      <c r="D46" s="1"/>
    </row>
    <row r="47" spans="1:4" x14ac:dyDescent="0.25">
      <c r="A47">
        <v>542</v>
      </c>
      <c r="B47" t="s">
        <v>1525</v>
      </c>
      <c r="C47" s="1">
        <v>31551</v>
      </c>
      <c r="D47" s="1"/>
    </row>
    <row r="48" spans="1:4" x14ac:dyDescent="0.25">
      <c r="A48">
        <v>586</v>
      </c>
      <c r="B48" t="s">
        <v>1525</v>
      </c>
      <c r="C48" s="1">
        <v>28192</v>
      </c>
      <c r="D48" s="1"/>
    </row>
    <row r="49" spans="1:4" x14ac:dyDescent="0.25">
      <c r="A49">
        <v>636</v>
      </c>
      <c r="B49" t="s">
        <v>1524</v>
      </c>
      <c r="C49" s="1">
        <v>39502</v>
      </c>
      <c r="D49" s="1">
        <v>39669</v>
      </c>
    </row>
    <row r="50" spans="1:4" x14ac:dyDescent="0.25">
      <c r="A50">
        <v>581</v>
      </c>
      <c r="B50" t="s">
        <v>1525</v>
      </c>
      <c r="C50" s="1">
        <v>43063</v>
      </c>
      <c r="D50" s="1"/>
    </row>
    <row r="51" spans="1:4" x14ac:dyDescent="0.25">
      <c r="A51">
        <v>336</v>
      </c>
      <c r="B51" t="s">
        <v>1525</v>
      </c>
      <c r="C51" s="1">
        <v>26581</v>
      </c>
      <c r="D51" s="1"/>
    </row>
    <row r="52" spans="1:4" x14ac:dyDescent="0.25">
      <c r="A52">
        <v>504</v>
      </c>
      <c r="B52" t="s">
        <v>1524</v>
      </c>
      <c r="C52" s="1">
        <v>30143</v>
      </c>
      <c r="D52" s="1">
        <v>30239</v>
      </c>
    </row>
    <row r="53" spans="1:4" x14ac:dyDescent="0.25">
      <c r="A53">
        <v>346</v>
      </c>
      <c r="B53" t="s">
        <v>1524</v>
      </c>
      <c r="C53" s="1">
        <v>39238</v>
      </c>
      <c r="D53" s="1">
        <v>39275</v>
      </c>
    </row>
    <row r="54" spans="1:4" x14ac:dyDescent="0.25">
      <c r="A54">
        <v>135</v>
      </c>
      <c r="B54" t="s">
        <v>1525</v>
      </c>
      <c r="C54" s="1">
        <v>38240</v>
      </c>
      <c r="D54" s="1"/>
    </row>
    <row r="55" spans="1:4" x14ac:dyDescent="0.25">
      <c r="A55">
        <v>822</v>
      </c>
      <c r="B55" t="s">
        <v>1524</v>
      </c>
      <c r="C55" s="1">
        <v>33419</v>
      </c>
      <c r="D55" s="1">
        <v>33434</v>
      </c>
    </row>
    <row r="56" spans="1:4" x14ac:dyDescent="0.25">
      <c r="A56">
        <v>95</v>
      </c>
      <c r="B56" t="s">
        <v>1525</v>
      </c>
      <c r="C56" s="1">
        <v>41375</v>
      </c>
      <c r="D56" s="1"/>
    </row>
    <row r="57" spans="1:4" x14ac:dyDescent="0.25">
      <c r="A57">
        <v>597</v>
      </c>
      <c r="B57" t="s">
        <v>1525</v>
      </c>
      <c r="C57" s="1">
        <v>40385</v>
      </c>
      <c r="D57" s="1"/>
    </row>
    <row r="58" spans="1:4" x14ac:dyDescent="0.25">
      <c r="A58">
        <v>340</v>
      </c>
      <c r="B58" t="s">
        <v>1525</v>
      </c>
      <c r="C58" s="1">
        <v>29893</v>
      </c>
      <c r="D58" s="1"/>
    </row>
    <row r="59" spans="1:4" x14ac:dyDescent="0.25">
      <c r="A59">
        <v>905</v>
      </c>
      <c r="B59" t="s">
        <v>1524</v>
      </c>
      <c r="C59" s="1">
        <v>30417</v>
      </c>
      <c r="D59" s="1">
        <v>30589</v>
      </c>
    </row>
    <row r="60" spans="1:4" x14ac:dyDescent="0.25">
      <c r="A60">
        <v>250</v>
      </c>
      <c r="B60" t="s">
        <v>1524</v>
      </c>
      <c r="C60" s="1">
        <v>38978</v>
      </c>
      <c r="D60" s="1">
        <v>39012</v>
      </c>
    </row>
    <row r="61" spans="1:4" x14ac:dyDescent="0.25">
      <c r="A61">
        <v>400</v>
      </c>
      <c r="B61" t="s">
        <v>1525</v>
      </c>
      <c r="C61" s="1">
        <v>37628</v>
      </c>
      <c r="D61" s="1"/>
    </row>
    <row r="62" spans="1:4" x14ac:dyDescent="0.25">
      <c r="A62">
        <v>877</v>
      </c>
      <c r="B62" t="s">
        <v>1524</v>
      </c>
      <c r="C62" s="1">
        <v>36550</v>
      </c>
      <c r="D62" s="1">
        <v>36607</v>
      </c>
    </row>
    <row r="63" spans="1:4" x14ac:dyDescent="0.25">
      <c r="A63">
        <v>97</v>
      </c>
      <c r="B63" t="s">
        <v>1525</v>
      </c>
      <c r="C63" s="1">
        <v>40688</v>
      </c>
      <c r="D63" s="1"/>
    </row>
    <row r="64" spans="1:4" x14ac:dyDescent="0.25">
      <c r="A64">
        <v>12</v>
      </c>
      <c r="B64" t="s">
        <v>1525</v>
      </c>
      <c r="C64" s="1">
        <v>36695</v>
      </c>
      <c r="D64" s="1"/>
    </row>
    <row r="65" spans="1:4" x14ac:dyDescent="0.25">
      <c r="A65">
        <v>353</v>
      </c>
      <c r="B65" t="s">
        <v>1524</v>
      </c>
      <c r="C65" s="1">
        <v>41123</v>
      </c>
      <c r="D65" s="1">
        <v>41186</v>
      </c>
    </row>
    <row r="66" spans="1:4" x14ac:dyDescent="0.25">
      <c r="A66">
        <v>856</v>
      </c>
      <c r="B66" t="s">
        <v>1524</v>
      </c>
      <c r="C66" s="1">
        <v>28302</v>
      </c>
      <c r="D66" s="1">
        <v>28437</v>
      </c>
    </row>
    <row r="67" spans="1:4" x14ac:dyDescent="0.25">
      <c r="A67">
        <v>1</v>
      </c>
      <c r="B67" t="s">
        <v>1524</v>
      </c>
      <c r="C67" s="1">
        <v>40222</v>
      </c>
      <c r="D67" s="1">
        <v>40512</v>
      </c>
    </row>
    <row r="68" spans="1:4" x14ac:dyDescent="0.25">
      <c r="A68">
        <v>390</v>
      </c>
      <c r="B68" t="s">
        <v>1524</v>
      </c>
      <c r="C68" s="1">
        <v>39896</v>
      </c>
      <c r="D68" s="1">
        <v>39881</v>
      </c>
    </row>
    <row r="69" spans="1:4" x14ac:dyDescent="0.25">
      <c r="A69">
        <v>446</v>
      </c>
      <c r="B69" t="s">
        <v>1525</v>
      </c>
      <c r="C69" s="1">
        <v>34084</v>
      </c>
      <c r="D69" s="1"/>
    </row>
    <row r="70" spans="1:4" x14ac:dyDescent="0.25">
      <c r="A70">
        <v>32</v>
      </c>
      <c r="B70" t="s">
        <v>1525</v>
      </c>
      <c r="C70" s="1">
        <v>38229</v>
      </c>
      <c r="D70" s="1"/>
    </row>
    <row r="71" spans="1:4" x14ac:dyDescent="0.25">
      <c r="A71">
        <v>420</v>
      </c>
      <c r="B71" t="s">
        <v>1525</v>
      </c>
      <c r="C71" s="1">
        <v>32510</v>
      </c>
      <c r="D71" s="1"/>
    </row>
    <row r="72" spans="1:4" x14ac:dyDescent="0.25">
      <c r="A72">
        <v>708</v>
      </c>
      <c r="B72" t="s">
        <v>1524</v>
      </c>
      <c r="C72" s="1">
        <v>43515</v>
      </c>
      <c r="D72" s="1">
        <v>43677</v>
      </c>
    </row>
    <row r="73" spans="1:4" x14ac:dyDescent="0.25">
      <c r="A73">
        <v>227</v>
      </c>
      <c r="B73" t="s">
        <v>1524</v>
      </c>
      <c r="C73" s="1">
        <v>37281</v>
      </c>
      <c r="D73" s="1">
        <v>37261</v>
      </c>
    </row>
    <row r="74" spans="1:4" x14ac:dyDescent="0.25">
      <c r="A74">
        <v>595</v>
      </c>
      <c r="B74" t="s">
        <v>1525</v>
      </c>
      <c r="C74" s="1">
        <v>37751</v>
      </c>
      <c r="D74" s="1"/>
    </row>
    <row r="75" spans="1:4" x14ac:dyDescent="0.25">
      <c r="A75">
        <v>211</v>
      </c>
      <c r="B75" t="s">
        <v>1524</v>
      </c>
      <c r="C75" s="1">
        <v>38793</v>
      </c>
      <c r="D75" s="1">
        <v>39074</v>
      </c>
    </row>
    <row r="76" spans="1:4" x14ac:dyDescent="0.25">
      <c r="A76">
        <v>650</v>
      </c>
      <c r="B76" t="s">
        <v>1525</v>
      </c>
      <c r="C76" s="1">
        <v>39251</v>
      </c>
      <c r="D76" s="1"/>
    </row>
    <row r="77" spans="1:4" x14ac:dyDescent="0.25">
      <c r="A77">
        <v>45</v>
      </c>
      <c r="B77" t="s">
        <v>1524</v>
      </c>
      <c r="C77" s="1">
        <v>35127</v>
      </c>
      <c r="D77" s="1">
        <v>35186</v>
      </c>
    </row>
    <row r="78" spans="1:4" x14ac:dyDescent="0.25">
      <c r="A78">
        <v>201</v>
      </c>
      <c r="B78" t="s">
        <v>1525</v>
      </c>
      <c r="C78" s="1">
        <v>30287</v>
      </c>
      <c r="D78" s="1"/>
    </row>
    <row r="79" spans="1:4" x14ac:dyDescent="0.25">
      <c r="A79">
        <v>564</v>
      </c>
      <c r="B79" t="s">
        <v>1524</v>
      </c>
      <c r="C79" s="1">
        <v>38109</v>
      </c>
      <c r="D79" s="1">
        <v>38255</v>
      </c>
    </row>
    <row r="80" spans="1:4" x14ac:dyDescent="0.25">
      <c r="A80">
        <v>138</v>
      </c>
      <c r="B80" t="s">
        <v>1525</v>
      </c>
      <c r="C80" s="1">
        <v>39500</v>
      </c>
      <c r="D80" s="1"/>
    </row>
    <row r="81" spans="1:4" x14ac:dyDescent="0.25">
      <c r="A81">
        <v>57</v>
      </c>
      <c r="B81" t="s">
        <v>1524</v>
      </c>
      <c r="C81" s="1">
        <v>38064</v>
      </c>
      <c r="D81" s="1">
        <v>38048</v>
      </c>
    </row>
    <row r="82" spans="1:4" x14ac:dyDescent="0.25">
      <c r="A82">
        <v>128</v>
      </c>
      <c r="B82" t="s">
        <v>1525</v>
      </c>
      <c r="C82" s="1">
        <v>33685</v>
      </c>
      <c r="D82" s="1"/>
    </row>
    <row r="83" spans="1:4" x14ac:dyDescent="0.25">
      <c r="A83">
        <v>33</v>
      </c>
      <c r="B83" t="s">
        <v>1525</v>
      </c>
      <c r="C83" s="1">
        <v>32238</v>
      </c>
      <c r="D83" s="1"/>
    </row>
    <row r="84" spans="1:4" x14ac:dyDescent="0.25">
      <c r="A84">
        <v>936</v>
      </c>
      <c r="B84" t="s">
        <v>1525</v>
      </c>
      <c r="C84" s="1">
        <v>41314</v>
      </c>
      <c r="D84" s="1"/>
    </row>
    <row r="85" spans="1:4" x14ac:dyDescent="0.25">
      <c r="A85">
        <v>762</v>
      </c>
      <c r="B85" t="s">
        <v>1525</v>
      </c>
      <c r="C85" s="1">
        <v>28570</v>
      </c>
      <c r="D85" s="1"/>
    </row>
    <row r="86" spans="1:4" x14ac:dyDescent="0.25">
      <c r="A86">
        <v>838</v>
      </c>
      <c r="B86" t="s">
        <v>1524</v>
      </c>
      <c r="C86" s="1">
        <v>34704</v>
      </c>
      <c r="D86" s="1">
        <v>34934</v>
      </c>
    </row>
    <row r="87" spans="1:4" x14ac:dyDescent="0.25">
      <c r="A87">
        <v>215</v>
      </c>
      <c r="B87" t="s">
        <v>1524</v>
      </c>
      <c r="C87" s="1">
        <v>31057</v>
      </c>
      <c r="D87" s="1">
        <v>31078</v>
      </c>
    </row>
    <row r="88" spans="1:4" x14ac:dyDescent="0.25">
      <c r="A88">
        <v>818</v>
      </c>
      <c r="B88" t="s">
        <v>1524</v>
      </c>
      <c r="C88" s="1">
        <v>38957</v>
      </c>
      <c r="D88" s="1">
        <v>39010</v>
      </c>
    </row>
    <row r="89" spans="1:4" x14ac:dyDescent="0.25">
      <c r="A89">
        <v>780</v>
      </c>
      <c r="B89" t="s">
        <v>1524</v>
      </c>
      <c r="C89" s="1">
        <v>32793</v>
      </c>
      <c r="D89" s="1">
        <v>32798</v>
      </c>
    </row>
    <row r="90" spans="1:4" x14ac:dyDescent="0.25">
      <c r="A90">
        <v>40</v>
      </c>
      <c r="B90" t="s">
        <v>1525</v>
      </c>
      <c r="C90" s="1">
        <v>29344</v>
      </c>
      <c r="D90" s="1"/>
    </row>
    <row r="91" spans="1:4" x14ac:dyDescent="0.25">
      <c r="A91">
        <v>366</v>
      </c>
      <c r="B91" t="s">
        <v>1524</v>
      </c>
      <c r="C91" s="1">
        <v>29281</v>
      </c>
      <c r="D91" s="1">
        <v>29296</v>
      </c>
    </row>
    <row r="92" spans="1:4" x14ac:dyDescent="0.25">
      <c r="A92">
        <v>678</v>
      </c>
      <c r="B92" t="s">
        <v>1525</v>
      </c>
      <c r="C92" s="1">
        <v>34349</v>
      </c>
      <c r="D92" s="1"/>
    </row>
    <row r="93" spans="1:4" x14ac:dyDescent="0.25">
      <c r="A93">
        <v>703</v>
      </c>
      <c r="B93" t="s">
        <v>1525</v>
      </c>
      <c r="C93" s="1">
        <v>42760</v>
      </c>
      <c r="D93" s="1"/>
    </row>
    <row r="94" spans="1:4" x14ac:dyDescent="0.25">
      <c r="A94">
        <v>180</v>
      </c>
      <c r="B94" t="s">
        <v>1525</v>
      </c>
      <c r="C94" s="1">
        <v>27485</v>
      </c>
      <c r="D94" s="1"/>
    </row>
    <row r="95" spans="1:4" x14ac:dyDescent="0.25">
      <c r="A95">
        <v>214</v>
      </c>
      <c r="B95" t="s">
        <v>1524</v>
      </c>
      <c r="C95" s="1">
        <v>31842</v>
      </c>
      <c r="D95" s="1">
        <v>31998</v>
      </c>
    </row>
    <row r="96" spans="1:4" x14ac:dyDescent="0.25">
      <c r="A96">
        <v>408</v>
      </c>
      <c r="B96" t="s">
        <v>1524</v>
      </c>
      <c r="C96" s="1">
        <v>32925</v>
      </c>
      <c r="D96" s="1">
        <v>33127</v>
      </c>
    </row>
    <row r="97" spans="1:4" x14ac:dyDescent="0.25">
      <c r="A97">
        <v>902</v>
      </c>
      <c r="B97" t="s">
        <v>1524</v>
      </c>
      <c r="C97" s="1">
        <v>32514</v>
      </c>
      <c r="D97" s="1">
        <v>32768</v>
      </c>
    </row>
    <row r="98" spans="1:4" x14ac:dyDescent="0.25">
      <c r="A98">
        <v>763</v>
      </c>
      <c r="B98" t="s">
        <v>1524</v>
      </c>
      <c r="C98" s="1">
        <v>41819</v>
      </c>
      <c r="D98" s="1">
        <v>41891</v>
      </c>
    </row>
    <row r="99" spans="1:4" x14ac:dyDescent="0.25">
      <c r="A99">
        <v>168</v>
      </c>
      <c r="B99" t="s">
        <v>1524</v>
      </c>
      <c r="C99" s="1">
        <v>35435</v>
      </c>
      <c r="D99" s="1">
        <v>35593</v>
      </c>
    </row>
    <row r="100" spans="1:4" x14ac:dyDescent="0.25">
      <c r="A100">
        <v>723</v>
      </c>
      <c r="B100" t="s">
        <v>1525</v>
      </c>
      <c r="C100" s="1">
        <v>29790</v>
      </c>
      <c r="D100" s="1"/>
    </row>
    <row r="101" spans="1:4" x14ac:dyDescent="0.25">
      <c r="A101">
        <v>438</v>
      </c>
      <c r="B101" t="s">
        <v>1524</v>
      </c>
      <c r="C101" s="1">
        <v>28210</v>
      </c>
      <c r="D101" s="1">
        <v>28214</v>
      </c>
    </row>
    <row r="102" spans="1:4" x14ac:dyDescent="0.25">
      <c r="A102">
        <v>162</v>
      </c>
      <c r="B102" t="s">
        <v>1524</v>
      </c>
      <c r="C102" s="1">
        <v>30112</v>
      </c>
      <c r="D102" s="1">
        <v>30253</v>
      </c>
    </row>
    <row r="103" spans="1:4" x14ac:dyDescent="0.25">
      <c r="A103">
        <v>246</v>
      </c>
      <c r="B103" t="s">
        <v>1524</v>
      </c>
      <c r="C103" s="1">
        <v>43527</v>
      </c>
      <c r="D103" s="1">
        <v>43525</v>
      </c>
    </row>
    <row r="104" spans="1:4" x14ac:dyDescent="0.25">
      <c r="A104">
        <v>105</v>
      </c>
      <c r="B104" t="s">
        <v>1525</v>
      </c>
      <c r="C104" s="1">
        <v>35669</v>
      </c>
      <c r="D104" s="1"/>
    </row>
    <row r="105" spans="1:4" x14ac:dyDescent="0.25">
      <c r="A105">
        <v>308</v>
      </c>
      <c r="B105" t="s">
        <v>1525</v>
      </c>
      <c r="C105" s="1">
        <v>28883</v>
      </c>
      <c r="D105" s="1"/>
    </row>
    <row r="106" spans="1:4" x14ac:dyDescent="0.25">
      <c r="A106">
        <v>172</v>
      </c>
      <c r="B106" t="s">
        <v>1524</v>
      </c>
      <c r="C106" s="1">
        <v>38289</v>
      </c>
      <c r="D106" s="1">
        <v>38286</v>
      </c>
    </row>
    <row r="107" spans="1:4" x14ac:dyDescent="0.25">
      <c r="A107">
        <v>775</v>
      </c>
      <c r="B107" t="s">
        <v>1525</v>
      </c>
      <c r="C107" s="1">
        <v>38258</v>
      </c>
      <c r="D107" s="1"/>
    </row>
    <row r="108" spans="1:4" x14ac:dyDescent="0.25">
      <c r="A108">
        <v>333</v>
      </c>
      <c r="B108" t="s">
        <v>1524</v>
      </c>
      <c r="C108" s="1">
        <v>41286</v>
      </c>
      <c r="D108" s="1">
        <v>41497</v>
      </c>
    </row>
    <row r="109" spans="1:4" x14ac:dyDescent="0.25">
      <c r="A109">
        <v>548</v>
      </c>
      <c r="B109" t="s">
        <v>1525</v>
      </c>
      <c r="C109" s="1">
        <v>41077</v>
      </c>
      <c r="D109" s="1"/>
    </row>
    <row r="110" spans="1:4" x14ac:dyDescent="0.25">
      <c r="A110">
        <v>665</v>
      </c>
      <c r="B110" t="s">
        <v>1524</v>
      </c>
      <c r="C110" s="1">
        <v>40190</v>
      </c>
      <c r="D110" s="1">
        <v>40295</v>
      </c>
    </row>
    <row r="111" spans="1:4" x14ac:dyDescent="0.25">
      <c r="A111">
        <v>305</v>
      </c>
      <c r="B111" t="s">
        <v>1524</v>
      </c>
      <c r="C111" s="1">
        <v>33827</v>
      </c>
      <c r="D111" s="1">
        <v>33909</v>
      </c>
    </row>
    <row r="112" spans="1:4" x14ac:dyDescent="0.25">
      <c r="A112">
        <v>938</v>
      </c>
      <c r="B112" t="s">
        <v>1525</v>
      </c>
      <c r="C112" s="1">
        <v>43455</v>
      </c>
      <c r="D112" s="1"/>
    </row>
    <row r="113" spans="1:4" x14ac:dyDescent="0.25">
      <c r="A113">
        <v>714</v>
      </c>
      <c r="B113" t="s">
        <v>1524</v>
      </c>
      <c r="C113" s="1">
        <v>40655</v>
      </c>
      <c r="D113" s="1">
        <v>40702</v>
      </c>
    </row>
    <row r="114" spans="1:4" x14ac:dyDescent="0.25">
      <c r="A114">
        <v>251</v>
      </c>
      <c r="B114" t="s">
        <v>1524</v>
      </c>
      <c r="C114" s="1">
        <v>37919</v>
      </c>
      <c r="D114" s="1">
        <v>37957</v>
      </c>
    </row>
    <row r="115" spans="1:4" x14ac:dyDescent="0.25">
      <c r="A115">
        <v>330</v>
      </c>
      <c r="B115" t="s">
        <v>1525</v>
      </c>
      <c r="C115" s="1">
        <v>40947</v>
      </c>
      <c r="D115" s="1"/>
    </row>
    <row r="116" spans="1:4" x14ac:dyDescent="0.25">
      <c r="A116">
        <v>69</v>
      </c>
      <c r="B116" t="s">
        <v>1524</v>
      </c>
      <c r="C116" s="1">
        <v>43173</v>
      </c>
      <c r="D116" s="1">
        <v>43342</v>
      </c>
    </row>
    <row r="117" spans="1:4" x14ac:dyDescent="0.25">
      <c r="A117">
        <v>969</v>
      </c>
      <c r="B117" t="s">
        <v>1524</v>
      </c>
      <c r="C117" s="1">
        <v>41352</v>
      </c>
      <c r="D117" s="1">
        <v>41342</v>
      </c>
    </row>
    <row r="118" spans="1:4" x14ac:dyDescent="0.25">
      <c r="A118">
        <v>974</v>
      </c>
      <c r="B118" t="s">
        <v>1524</v>
      </c>
      <c r="C118" s="1">
        <v>41387</v>
      </c>
      <c r="D118" s="1">
        <v>41446</v>
      </c>
    </row>
    <row r="119" spans="1:4" x14ac:dyDescent="0.25">
      <c r="A119">
        <v>526</v>
      </c>
      <c r="B119" t="s">
        <v>1524</v>
      </c>
      <c r="C119" s="1">
        <v>33279</v>
      </c>
      <c r="D119" s="1">
        <v>33422</v>
      </c>
    </row>
    <row r="120" spans="1:4" x14ac:dyDescent="0.25">
      <c r="A120">
        <v>510</v>
      </c>
      <c r="B120" t="s">
        <v>1525</v>
      </c>
      <c r="C120" s="1">
        <v>28037</v>
      </c>
      <c r="D120" s="1"/>
    </row>
    <row r="121" spans="1:4" x14ac:dyDescent="0.25">
      <c r="A121">
        <v>444</v>
      </c>
      <c r="B121" t="s">
        <v>1525</v>
      </c>
      <c r="C121" s="1">
        <v>32075</v>
      </c>
      <c r="D121" s="1"/>
    </row>
    <row r="122" spans="1:4" x14ac:dyDescent="0.25">
      <c r="A122">
        <v>503</v>
      </c>
      <c r="B122" t="s">
        <v>1524</v>
      </c>
      <c r="C122" s="1">
        <v>27114</v>
      </c>
      <c r="D122" s="1">
        <v>27174</v>
      </c>
    </row>
    <row r="123" spans="1:4" x14ac:dyDescent="0.25">
      <c r="A123">
        <v>109</v>
      </c>
      <c r="B123" t="s">
        <v>1525</v>
      </c>
      <c r="C123" s="1">
        <v>41777</v>
      </c>
      <c r="D123" s="1"/>
    </row>
    <row r="124" spans="1:4" x14ac:dyDescent="0.25">
      <c r="A124">
        <v>823</v>
      </c>
      <c r="B124" t="s">
        <v>1524</v>
      </c>
      <c r="C124" s="1">
        <v>27532</v>
      </c>
      <c r="D124" s="1">
        <v>27534</v>
      </c>
    </row>
    <row r="125" spans="1:4" x14ac:dyDescent="0.25">
      <c r="A125">
        <v>147</v>
      </c>
      <c r="B125" t="s">
        <v>1524</v>
      </c>
      <c r="C125" s="1">
        <v>38431</v>
      </c>
      <c r="D125" s="1">
        <v>38610</v>
      </c>
    </row>
    <row r="126" spans="1:4" x14ac:dyDescent="0.25">
      <c r="A126">
        <v>625</v>
      </c>
      <c r="B126" t="s">
        <v>1525</v>
      </c>
      <c r="C126" s="1">
        <v>43376</v>
      </c>
      <c r="D126" s="1"/>
    </row>
    <row r="127" spans="1:4" x14ac:dyDescent="0.25">
      <c r="A127">
        <v>695</v>
      </c>
      <c r="B127" t="s">
        <v>1525</v>
      </c>
      <c r="C127" s="1">
        <v>41542</v>
      </c>
      <c r="D127" s="1"/>
    </row>
    <row r="128" spans="1:4" x14ac:dyDescent="0.25">
      <c r="A128">
        <v>983</v>
      </c>
      <c r="B128" t="s">
        <v>1525</v>
      </c>
      <c r="C128" s="1">
        <v>34159</v>
      </c>
      <c r="D128" s="1"/>
    </row>
    <row r="129" spans="1:4" x14ac:dyDescent="0.25">
      <c r="A129">
        <v>82</v>
      </c>
      <c r="B129" t="s">
        <v>1525</v>
      </c>
      <c r="C129" s="1">
        <v>35579</v>
      </c>
      <c r="D129" s="1"/>
    </row>
    <row r="130" spans="1:4" x14ac:dyDescent="0.25">
      <c r="A130">
        <v>397</v>
      </c>
      <c r="B130" t="s">
        <v>1525</v>
      </c>
      <c r="C130" s="1">
        <v>38046</v>
      </c>
      <c r="D130" s="1"/>
    </row>
    <row r="131" spans="1:4" x14ac:dyDescent="0.25">
      <c r="A131">
        <v>599</v>
      </c>
      <c r="B131" t="s">
        <v>1525</v>
      </c>
      <c r="C131" s="1">
        <v>37134</v>
      </c>
      <c r="D131" s="1"/>
    </row>
    <row r="132" spans="1:4" x14ac:dyDescent="0.25">
      <c r="A132">
        <v>306</v>
      </c>
      <c r="B132" t="s">
        <v>1524</v>
      </c>
      <c r="C132" s="1">
        <v>30344</v>
      </c>
      <c r="D132" s="1">
        <v>30519</v>
      </c>
    </row>
    <row r="133" spans="1:4" x14ac:dyDescent="0.25">
      <c r="A133">
        <v>536</v>
      </c>
      <c r="B133" t="s">
        <v>1524</v>
      </c>
      <c r="C133" s="1">
        <v>42636</v>
      </c>
      <c r="D133" s="1">
        <v>42634</v>
      </c>
    </row>
    <row r="134" spans="1:4" x14ac:dyDescent="0.25">
      <c r="A134">
        <v>20</v>
      </c>
      <c r="B134" t="s">
        <v>1525</v>
      </c>
      <c r="C134" s="1">
        <v>43007</v>
      </c>
      <c r="D134" s="1"/>
    </row>
    <row r="135" spans="1:4" x14ac:dyDescent="0.25">
      <c r="A135">
        <v>515</v>
      </c>
      <c r="B135" t="s">
        <v>1525</v>
      </c>
      <c r="C135" s="1">
        <v>35065</v>
      </c>
      <c r="D135" s="1"/>
    </row>
    <row r="136" spans="1:4" x14ac:dyDescent="0.25">
      <c r="A136">
        <v>332</v>
      </c>
      <c r="B136" t="s">
        <v>1525</v>
      </c>
      <c r="C136" s="1">
        <v>39705</v>
      </c>
      <c r="D136" s="1"/>
    </row>
    <row r="137" spans="1:4" x14ac:dyDescent="0.25">
      <c r="A137">
        <v>127</v>
      </c>
      <c r="B137" t="s">
        <v>1524</v>
      </c>
      <c r="C137" s="1">
        <v>38725</v>
      </c>
      <c r="D137" s="1">
        <v>38726</v>
      </c>
    </row>
    <row r="138" spans="1:4" x14ac:dyDescent="0.25">
      <c r="A138">
        <v>958</v>
      </c>
      <c r="B138" t="s">
        <v>1525</v>
      </c>
      <c r="C138" s="1">
        <v>42424</v>
      </c>
      <c r="D138" s="1"/>
    </row>
    <row r="139" spans="1:4" x14ac:dyDescent="0.25">
      <c r="A139">
        <v>42</v>
      </c>
      <c r="B139" t="s">
        <v>1524</v>
      </c>
      <c r="C139" s="1">
        <v>28875</v>
      </c>
      <c r="D139" s="1">
        <v>29110</v>
      </c>
    </row>
    <row r="140" spans="1:4" x14ac:dyDescent="0.25">
      <c r="A140">
        <v>977</v>
      </c>
      <c r="B140" t="s">
        <v>1524</v>
      </c>
      <c r="C140" s="1">
        <v>37290</v>
      </c>
      <c r="D140" s="1">
        <v>37549</v>
      </c>
    </row>
    <row r="141" spans="1:4" x14ac:dyDescent="0.25">
      <c r="A141">
        <v>460</v>
      </c>
      <c r="B141" t="s">
        <v>1524</v>
      </c>
      <c r="C141" s="1">
        <v>38458</v>
      </c>
      <c r="D141" s="1">
        <v>38610</v>
      </c>
    </row>
    <row r="142" spans="1:4" x14ac:dyDescent="0.25">
      <c r="A142">
        <v>659</v>
      </c>
      <c r="B142" t="s">
        <v>1524</v>
      </c>
      <c r="C142" s="1">
        <v>35847</v>
      </c>
      <c r="D142" s="1">
        <v>36049</v>
      </c>
    </row>
    <row r="143" spans="1:4" x14ac:dyDescent="0.25">
      <c r="A143">
        <v>197</v>
      </c>
      <c r="B143" t="s">
        <v>1524</v>
      </c>
      <c r="C143" s="1">
        <v>32596</v>
      </c>
      <c r="D143" s="1">
        <v>32743</v>
      </c>
    </row>
    <row r="144" spans="1:4" x14ac:dyDescent="0.25">
      <c r="A144">
        <v>540</v>
      </c>
      <c r="B144" t="s">
        <v>1524</v>
      </c>
      <c r="C144" s="1">
        <v>28236</v>
      </c>
      <c r="D144" s="1">
        <v>28437</v>
      </c>
    </row>
    <row r="145" spans="1:4" x14ac:dyDescent="0.25">
      <c r="A145">
        <v>178</v>
      </c>
      <c r="B145" t="s">
        <v>1524</v>
      </c>
      <c r="C145" s="1">
        <v>39814</v>
      </c>
      <c r="D145" s="1">
        <v>39839</v>
      </c>
    </row>
    <row r="146" spans="1:4" x14ac:dyDescent="0.25">
      <c r="A146">
        <v>202</v>
      </c>
      <c r="B146" t="s">
        <v>1524</v>
      </c>
      <c r="C146" s="1">
        <v>36918</v>
      </c>
      <c r="D146" s="1">
        <v>37106</v>
      </c>
    </row>
    <row r="147" spans="1:4" x14ac:dyDescent="0.25">
      <c r="A147">
        <v>632</v>
      </c>
      <c r="B147" t="s">
        <v>1524</v>
      </c>
      <c r="C147" s="1">
        <v>33842</v>
      </c>
      <c r="D147" s="1">
        <v>33963</v>
      </c>
    </row>
    <row r="148" spans="1:4" x14ac:dyDescent="0.25">
      <c r="A148">
        <v>25</v>
      </c>
      <c r="B148" t="s">
        <v>1524</v>
      </c>
      <c r="C148" s="1">
        <v>38136</v>
      </c>
      <c r="D148" s="1">
        <v>38124</v>
      </c>
    </row>
    <row r="149" spans="1:4" x14ac:dyDescent="0.25">
      <c r="A149">
        <v>990</v>
      </c>
      <c r="B149" t="s">
        <v>1524</v>
      </c>
      <c r="C149" s="1">
        <v>37759</v>
      </c>
      <c r="D149" s="1">
        <v>37953</v>
      </c>
    </row>
    <row r="150" spans="1:4" x14ac:dyDescent="0.25">
      <c r="A150">
        <v>913</v>
      </c>
      <c r="B150" t="s">
        <v>1525</v>
      </c>
      <c r="C150" s="1">
        <v>27157</v>
      </c>
      <c r="D150" s="1"/>
    </row>
    <row r="151" spans="1:4" x14ac:dyDescent="0.25">
      <c r="A151">
        <v>371</v>
      </c>
      <c r="B151" t="s">
        <v>1525</v>
      </c>
      <c r="C151" s="1">
        <v>27578</v>
      </c>
      <c r="D151" s="1"/>
    </row>
    <row r="152" spans="1:4" x14ac:dyDescent="0.25">
      <c r="A152">
        <v>514</v>
      </c>
      <c r="B152" t="s">
        <v>1525</v>
      </c>
      <c r="C152" s="1">
        <v>30089</v>
      </c>
      <c r="D152" s="1"/>
    </row>
    <row r="153" spans="1:4" x14ac:dyDescent="0.25">
      <c r="A153">
        <v>707</v>
      </c>
      <c r="B153" t="s">
        <v>1525</v>
      </c>
      <c r="C153" s="1">
        <v>39252</v>
      </c>
      <c r="D153" s="1"/>
    </row>
    <row r="154" spans="1:4" x14ac:dyDescent="0.25">
      <c r="A154">
        <v>473</v>
      </c>
      <c r="B154" t="s">
        <v>1524</v>
      </c>
      <c r="C154" s="1">
        <v>40933</v>
      </c>
      <c r="D154" s="1">
        <v>40925</v>
      </c>
    </row>
    <row r="155" spans="1:4" x14ac:dyDescent="0.25">
      <c r="A155">
        <v>847</v>
      </c>
      <c r="B155" t="s">
        <v>1525</v>
      </c>
      <c r="C155" s="1">
        <v>30423</v>
      </c>
      <c r="D155" s="1"/>
    </row>
    <row r="156" spans="1:4" x14ac:dyDescent="0.25">
      <c r="A156">
        <v>815</v>
      </c>
      <c r="B156" t="s">
        <v>1524</v>
      </c>
      <c r="C156" s="1">
        <v>40208</v>
      </c>
      <c r="D156" s="1">
        <v>40239</v>
      </c>
    </row>
    <row r="157" spans="1:4" x14ac:dyDescent="0.25">
      <c r="A157">
        <v>928</v>
      </c>
      <c r="B157" t="s">
        <v>1525</v>
      </c>
      <c r="C157" s="1">
        <v>26912</v>
      </c>
      <c r="D157" s="1"/>
    </row>
    <row r="158" spans="1:4" x14ac:dyDescent="0.25">
      <c r="A158">
        <v>210</v>
      </c>
      <c r="B158" t="s">
        <v>1525</v>
      </c>
      <c r="C158" s="1">
        <v>38648</v>
      </c>
      <c r="D158" s="1"/>
    </row>
    <row r="159" spans="1:4" x14ac:dyDescent="0.25">
      <c r="A159">
        <v>793</v>
      </c>
      <c r="B159" t="s">
        <v>1525</v>
      </c>
      <c r="C159" s="1">
        <v>35252</v>
      </c>
      <c r="D159" s="1"/>
    </row>
    <row r="160" spans="1:4" x14ac:dyDescent="0.25">
      <c r="A160">
        <v>872</v>
      </c>
      <c r="B160" t="s">
        <v>1524</v>
      </c>
      <c r="C160" s="1">
        <v>39589</v>
      </c>
      <c r="D160" s="1">
        <v>39585</v>
      </c>
    </row>
    <row r="161" spans="1:4" x14ac:dyDescent="0.25">
      <c r="A161">
        <v>298</v>
      </c>
      <c r="B161" t="s">
        <v>1525</v>
      </c>
      <c r="C161" s="1">
        <v>28988</v>
      </c>
      <c r="D161" s="1"/>
    </row>
    <row r="162" spans="1:4" x14ac:dyDescent="0.25">
      <c r="A162">
        <v>941</v>
      </c>
      <c r="B162" t="s">
        <v>1524</v>
      </c>
      <c r="C162" s="1">
        <v>40360</v>
      </c>
      <c r="D162" s="1">
        <v>40418</v>
      </c>
    </row>
    <row r="163" spans="1:4" x14ac:dyDescent="0.25">
      <c r="A163">
        <v>731</v>
      </c>
      <c r="B163" t="s">
        <v>1525</v>
      </c>
      <c r="C163" s="1">
        <v>30502</v>
      </c>
      <c r="D163" s="1"/>
    </row>
    <row r="164" spans="1:4" x14ac:dyDescent="0.25">
      <c r="A164">
        <v>500</v>
      </c>
      <c r="B164" t="s">
        <v>1525</v>
      </c>
      <c r="C164" s="1">
        <v>29407</v>
      </c>
      <c r="D164" s="1"/>
    </row>
    <row r="165" spans="1:4" x14ac:dyDescent="0.25">
      <c r="A165">
        <v>142</v>
      </c>
      <c r="B165" t="s">
        <v>1525</v>
      </c>
      <c r="C165" s="1">
        <v>30549</v>
      </c>
      <c r="D165" s="1"/>
    </row>
    <row r="166" spans="1:4" x14ac:dyDescent="0.25">
      <c r="A166">
        <v>787</v>
      </c>
      <c r="B166" t="s">
        <v>1524</v>
      </c>
      <c r="C166" s="1">
        <v>40630</v>
      </c>
      <c r="D166" s="1">
        <v>40719</v>
      </c>
    </row>
    <row r="167" spans="1:4" x14ac:dyDescent="0.25">
      <c r="A167">
        <v>749</v>
      </c>
      <c r="B167" t="s">
        <v>1524</v>
      </c>
      <c r="C167" s="1">
        <v>41759</v>
      </c>
      <c r="D167" s="1">
        <v>41822</v>
      </c>
    </row>
    <row r="168" spans="1:4" x14ac:dyDescent="0.25">
      <c r="A168">
        <v>304</v>
      </c>
      <c r="B168" t="s">
        <v>1524</v>
      </c>
      <c r="C168" s="1">
        <v>38066</v>
      </c>
      <c r="D168" s="1">
        <v>38255</v>
      </c>
    </row>
    <row r="169" spans="1:4" x14ac:dyDescent="0.25">
      <c r="A169">
        <v>30</v>
      </c>
      <c r="B169" t="s">
        <v>1524</v>
      </c>
      <c r="C169" s="1">
        <v>40228</v>
      </c>
      <c r="D169" s="1">
        <v>40246</v>
      </c>
    </row>
    <row r="170" spans="1:4" x14ac:dyDescent="0.25">
      <c r="A170">
        <v>477</v>
      </c>
      <c r="B170" t="s">
        <v>1525</v>
      </c>
      <c r="C170" s="1">
        <v>31662</v>
      </c>
      <c r="D170" s="1"/>
    </row>
    <row r="171" spans="1:4" x14ac:dyDescent="0.25">
      <c r="A171">
        <v>52</v>
      </c>
      <c r="B171" t="s">
        <v>1525</v>
      </c>
      <c r="C171" s="1">
        <v>42510</v>
      </c>
      <c r="D171" s="1"/>
    </row>
    <row r="172" spans="1:4" x14ac:dyDescent="0.25">
      <c r="A172">
        <v>73</v>
      </c>
      <c r="B172" t="s">
        <v>1525</v>
      </c>
      <c r="C172" s="1">
        <v>34034</v>
      </c>
      <c r="D172" s="1"/>
    </row>
    <row r="173" spans="1:4" x14ac:dyDescent="0.25">
      <c r="A173">
        <v>691</v>
      </c>
      <c r="B173" t="s">
        <v>1524</v>
      </c>
      <c r="C173" s="1">
        <v>41031</v>
      </c>
      <c r="D173" s="1">
        <v>41141</v>
      </c>
    </row>
    <row r="174" spans="1:4" x14ac:dyDescent="0.25">
      <c r="A174">
        <v>786</v>
      </c>
      <c r="B174" t="s">
        <v>1524</v>
      </c>
      <c r="C174" s="1">
        <v>27917</v>
      </c>
      <c r="D174" s="1">
        <v>28003</v>
      </c>
    </row>
    <row r="175" spans="1:4" x14ac:dyDescent="0.25">
      <c r="A175">
        <v>68</v>
      </c>
      <c r="B175" t="s">
        <v>1525</v>
      </c>
      <c r="C175" s="1">
        <v>38198</v>
      </c>
      <c r="D175" s="1"/>
    </row>
    <row r="176" spans="1:4" x14ac:dyDescent="0.25">
      <c r="A176">
        <v>630</v>
      </c>
      <c r="B176" t="s">
        <v>1524</v>
      </c>
      <c r="C176" s="1">
        <v>39867</v>
      </c>
      <c r="D176" s="1">
        <v>40085</v>
      </c>
    </row>
    <row r="177" spans="1:4" x14ac:dyDescent="0.25">
      <c r="A177">
        <v>357</v>
      </c>
      <c r="B177" t="s">
        <v>1525</v>
      </c>
      <c r="C177" s="1">
        <v>33157</v>
      </c>
      <c r="D177" s="1"/>
    </row>
    <row r="178" spans="1:4" x14ac:dyDescent="0.25">
      <c r="A178">
        <v>455</v>
      </c>
      <c r="B178" t="s">
        <v>1525</v>
      </c>
      <c r="C178" s="1">
        <v>40824</v>
      </c>
      <c r="D178" s="1"/>
    </row>
    <row r="179" spans="1:4" x14ac:dyDescent="0.25">
      <c r="A179">
        <v>947</v>
      </c>
      <c r="B179" t="s">
        <v>1524</v>
      </c>
      <c r="C179" s="1">
        <v>31792</v>
      </c>
      <c r="D179" s="1">
        <v>31897</v>
      </c>
    </row>
    <row r="180" spans="1:4" x14ac:dyDescent="0.25">
      <c r="A180">
        <v>589</v>
      </c>
      <c r="B180" t="s">
        <v>1525</v>
      </c>
      <c r="C180" s="1">
        <v>25970</v>
      </c>
      <c r="D180" s="1"/>
    </row>
    <row r="181" spans="1:4" x14ac:dyDescent="0.25">
      <c r="A181">
        <v>863</v>
      </c>
      <c r="B181" t="s">
        <v>1525</v>
      </c>
      <c r="C181" s="1">
        <v>27457</v>
      </c>
      <c r="D181" s="1"/>
    </row>
    <row r="182" spans="1:4" x14ac:dyDescent="0.25">
      <c r="A182">
        <v>668</v>
      </c>
      <c r="B182" t="s">
        <v>1524</v>
      </c>
      <c r="C182" s="1">
        <v>26460</v>
      </c>
      <c r="D182" s="1">
        <v>26466</v>
      </c>
    </row>
    <row r="183" spans="1:4" x14ac:dyDescent="0.25">
      <c r="A183">
        <v>206</v>
      </c>
      <c r="B183" t="s">
        <v>1525</v>
      </c>
      <c r="C183" s="1">
        <v>41085</v>
      </c>
      <c r="D183" s="1"/>
    </row>
    <row r="184" spans="1:4" x14ac:dyDescent="0.25">
      <c r="A184">
        <v>835</v>
      </c>
      <c r="B184" t="s">
        <v>1525</v>
      </c>
      <c r="C184" s="1">
        <v>28130</v>
      </c>
      <c r="D184" s="1"/>
    </row>
    <row r="185" spans="1:4" x14ac:dyDescent="0.25">
      <c r="A185">
        <v>315</v>
      </c>
      <c r="B185" t="s">
        <v>1525</v>
      </c>
      <c r="C185" s="1">
        <v>35029</v>
      </c>
      <c r="D185" s="1"/>
    </row>
    <row r="186" spans="1:4" x14ac:dyDescent="0.25">
      <c r="A186">
        <v>553</v>
      </c>
      <c r="B186" t="s">
        <v>1525</v>
      </c>
      <c r="C186" s="1">
        <v>34906</v>
      </c>
      <c r="D186" s="1"/>
    </row>
    <row r="187" spans="1:4" x14ac:dyDescent="0.25">
      <c r="A187">
        <v>861</v>
      </c>
      <c r="B187" t="s">
        <v>1524</v>
      </c>
      <c r="C187" s="1">
        <v>35104</v>
      </c>
      <c r="D187" s="1">
        <v>35321</v>
      </c>
    </row>
    <row r="188" spans="1:4" x14ac:dyDescent="0.25">
      <c r="A188">
        <v>279</v>
      </c>
      <c r="B188" t="s">
        <v>1525</v>
      </c>
      <c r="C188" s="1">
        <v>42447</v>
      </c>
      <c r="D188" s="1"/>
    </row>
    <row r="189" spans="1:4" x14ac:dyDescent="0.25">
      <c r="A189">
        <v>75</v>
      </c>
      <c r="B189" t="s">
        <v>1524</v>
      </c>
      <c r="C189" s="1">
        <v>37404</v>
      </c>
      <c r="D189" s="1">
        <v>37507</v>
      </c>
    </row>
    <row r="190" spans="1:4" x14ac:dyDescent="0.25">
      <c r="A190">
        <v>895</v>
      </c>
      <c r="B190" t="s">
        <v>1525</v>
      </c>
      <c r="C190" s="1">
        <v>40252</v>
      </c>
      <c r="D190" s="1"/>
    </row>
    <row r="191" spans="1:4" x14ac:dyDescent="0.25">
      <c r="A191">
        <v>866</v>
      </c>
      <c r="B191" t="s">
        <v>1524</v>
      </c>
      <c r="C191" s="1">
        <v>34721</v>
      </c>
      <c r="D191" s="1">
        <v>34700</v>
      </c>
    </row>
    <row r="192" spans="1:4" x14ac:dyDescent="0.25">
      <c r="A192">
        <v>792</v>
      </c>
      <c r="B192" t="s">
        <v>1525</v>
      </c>
      <c r="C192" s="1">
        <v>39715</v>
      </c>
      <c r="D192" s="1"/>
    </row>
    <row r="193" spans="1:4" x14ac:dyDescent="0.25">
      <c r="A193">
        <v>191</v>
      </c>
      <c r="B193" t="s">
        <v>1524</v>
      </c>
      <c r="C193" s="1">
        <v>32511</v>
      </c>
      <c r="D193" s="1">
        <v>32798</v>
      </c>
    </row>
    <row r="194" spans="1:4" x14ac:dyDescent="0.25">
      <c r="A194">
        <v>59</v>
      </c>
      <c r="B194" t="s">
        <v>1525</v>
      </c>
      <c r="C194" s="1">
        <v>30774</v>
      </c>
      <c r="D194" s="1"/>
    </row>
    <row r="195" spans="1:4" x14ac:dyDescent="0.25">
      <c r="A195">
        <v>748</v>
      </c>
      <c r="B195" t="s">
        <v>1525</v>
      </c>
      <c r="C195" s="1">
        <v>31904</v>
      </c>
      <c r="D195" s="1"/>
    </row>
    <row r="196" spans="1:4" x14ac:dyDescent="0.25">
      <c r="A196">
        <v>693</v>
      </c>
      <c r="B196" t="s">
        <v>1525</v>
      </c>
      <c r="C196" s="1">
        <v>30685</v>
      </c>
      <c r="D196" s="1"/>
    </row>
    <row r="197" spans="1:4" x14ac:dyDescent="0.25">
      <c r="A197">
        <v>955</v>
      </c>
      <c r="B197" t="s">
        <v>1524</v>
      </c>
      <c r="C197" s="1">
        <v>33734</v>
      </c>
      <c r="D197" s="1">
        <v>33965</v>
      </c>
    </row>
    <row r="198" spans="1:4" x14ac:dyDescent="0.25">
      <c r="A198">
        <v>538</v>
      </c>
      <c r="B198" t="s">
        <v>1525</v>
      </c>
      <c r="C198" s="1">
        <v>40032</v>
      </c>
      <c r="D198" s="1"/>
    </row>
    <row r="199" spans="1:4" x14ac:dyDescent="0.25">
      <c r="A199">
        <v>169</v>
      </c>
      <c r="B199" t="s">
        <v>1524</v>
      </c>
      <c r="C199" s="1">
        <v>42811</v>
      </c>
      <c r="D199" s="1">
        <v>42971</v>
      </c>
    </row>
    <row r="200" spans="1:4" x14ac:dyDescent="0.25">
      <c r="A200">
        <v>924</v>
      </c>
      <c r="B200" t="s">
        <v>1524</v>
      </c>
      <c r="C200" s="1">
        <v>42032</v>
      </c>
      <c r="D200" s="1">
        <v>42083</v>
      </c>
    </row>
    <row r="201" spans="1:4" x14ac:dyDescent="0.25">
      <c r="A201">
        <v>579</v>
      </c>
      <c r="B201" t="s">
        <v>1525</v>
      </c>
      <c r="C201" s="1">
        <v>42725</v>
      </c>
      <c r="D201"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F7805-F2A1-4CA7-9FD5-3D794F753FBA}">
  <dimension ref="A3:B6"/>
  <sheetViews>
    <sheetView workbookViewId="0">
      <selection activeCell="C7" sqref="C7"/>
    </sheetView>
  </sheetViews>
  <sheetFormatPr defaultRowHeight="15" x14ac:dyDescent="0.25"/>
  <cols>
    <col min="1" max="1" width="13.42578125" bestFit="1" customWidth="1"/>
    <col min="2" max="2" width="22.140625" bestFit="1" customWidth="1"/>
  </cols>
  <sheetData>
    <row r="3" spans="1:2" x14ac:dyDescent="0.25">
      <c r="A3" s="2" t="s">
        <v>1533</v>
      </c>
      <c r="B3" t="s">
        <v>1535</v>
      </c>
    </row>
    <row r="4" spans="1:2" x14ac:dyDescent="0.25">
      <c r="A4" s="3" t="s">
        <v>1197</v>
      </c>
      <c r="B4" s="5">
        <v>569.45098039215691</v>
      </c>
    </row>
    <row r="5" spans="1:2" x14ac:dyDescent="0.25">
      <c r="A5" s="3" t="s">
        <v>1193</v>
      </c>
      <c r="B5" s="5">
        <v>472.64285714285717</v>
      </c>
    </row>
    <row r="6" spans="1:2" x14ac:dyDescent="0.25">
      <c r="A6" s="3" t="s">
        <v>1534</v>
      </c>
      <c r="B6" s="5">
        <v>522.01499999999999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DD011-FCB6-45F9-970C-84B2C72B1BC8}">
  <dimension ref="A3:B6"/>
  <sheetViews>
    <sheetView workbookViewId="0">
      <selection activeCell="G6" sqref="G6"/>
    </sheetView>
  </sheetViews>
  <sheetFormatPr defaultRowHeight="15" x14ac:dyDescent="0.25"/>
  <cols>
    <col min="1" max="1" width="13.42578125" bestFit="1" customWidth="1"/>
    <col min="2" max="2" width="20.5703125" bestFit="1" customWidth="1"/>
  </cols>
  <sheetData>
    <row r="3" spans="1:2" x14ac:dyDescent="0.25">
      <c r="A3" s="2" t="s">
        <v>1533</v>
      </c>
      <c r="B3" t="s">
        <v>1539</v>
      </c>
    </row>
    <row r="4" spans="1:2" x14ac:dyDescent="0.25">
      <c r="A4" s="3" t="s">
        <v>1192</v>
      </c>
      <c r="B4">
        <v>109</v>
      </c>
    </row>
    <row r="5" spans="1:2" x14ac:dyDescent="0.25">
      <c r="A5" s="3" t="s">
        <v>1196</v>
      </c>
      <c r="B5">
        <v>91</v>
      </c>
    </row>
    <row r="6" spans="1:2" x14ac:dyDescent="0.25">
      <c r="A6" s="3" t="s">
        <v>1534</v>
      </c>
      <c r="B6">
        <v>200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E170D-8B16-489E-97BF-B29853362987}">
  <dimension ref="A3:B6"/>
  <sheetViews>
    <sheetView workbookViewId="0">
      <selection activeCell="A3" sqref="A3"/>
    </sheetView>
  </sheetViews>
  <sheetFormatPr defaultRowHeight="15" x14ac:dyDescent="0.25"/>
  <cols>
    <col min="1" max="1" width="13.42578125" bestFit="1" customWidth="1"/>
    <col min="2" max="2" width="24.140625" bestFit="1" customWidth="1"/>
  </cols>
  <sheetData>
    <row r="3" spans="1:2" x14ac:dyDescent="0.25">
      <c r="A3" s="2" t="s">
        <v>1533</v>
      </c>
      <c r="B3" t="s">
        <v>1549</v>
      </c>
    </row>
    <row r="4" spans="1:2" x14ac:dyDescent="0.25">
      <c r="A4" s="3" t="s">
        <v>1192</v>
      </c>
      <c r="B4">
        <v>117.98</v>
      </c>
    </row>
    <row r="5" spans="1:2" x14ac:dyDescent="0.25">
      <c r="A5" s="3" t="s">
        <v>1196</v>
      </c>
      <c r="B5">
        <v>96.26</v>
      </c>
    </row>
    <row r="6" spans="1:2" x14ac:dyDescent="0.25">
      <c r="A6" s="3" t="s">
        <v>1534</v>
      </c>
      <c r="B6">
        <v>107.12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FC16F-C4A2-4CBD-9F0D-84F5020B2EC5}">
  <dimension ref="A3:B6"/>
  <sheetViews>
    <sheetView workbookViewId="0">
      <selection activeCell="D7" sqref="D7"/>
    </sheetView>
  </sheetViews>
  <sheetFormatPr defaultRowHeight="15" x14ac:dyDescent="0.25"/>
  <cols>
    <col min="1" max="1" width="13.42578125" bestFit="1" customWidth="1"/>
    <col min="2" max="2" width="20.140625" bestFit="1" customWidth="1"/>
  </cols>
  <sheetData>
    <row r="3" spans="1:2" x14ac:dyDescent="0.25">
      <c r="A3" s="2" t="s">
        <v>1533</v>
      </c>
      <c r="B3" t="s">
        <v>1553</v>
      </c>
    </row>
    <row r="4" spans="1:2" x14ac:dyDescent="0.25">
      <c r="A4" s="3" t="s">
        <v>1192</v>
      </c>
      <c r="B4" s="4">
        <v>0.53887399409530001</v>
      </c>
    </row>
    <row r="5" spans="1:2" x14ac:dyDescent="0.25">
      <c r="A5" s="6" t="s">
        <v>1197</v>
      </c>
      <c r="B5" s="4">
        <v>0.53887399409530001</v>
      </c>
    </row>
    <row r="6" spans="1:2" x14ac:dyDescent="0.25">
      <c r="A6" s="3" t="s">
        <v>1534</v>
      </c>
      <c r="B6" s="4">
        <v>0.53887399409530001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2F8B1-EE69-4743-BA64-91AD924B251E}">
  <dimension ref="A1:O201"/>
  <sheetViews>
    <sheetView tabSelected="1" topLeftCell="E1" workbookViewId="0">
      <selection activeCell="P5" sqref="P5"/>
    </sheetView>
  </sheetViews>
  <sheetFormatPr defaultRowHeight="15" x14ac:dyDescent="0.25"/>
  <cols>
    <col min="1" max="1" width="8.7109375" bestFit="1" customWidth="1"/>
    <col min="2" max="2" width="7.5703125" bestFit="1" customWidth="1"/>
    <col min="3" max="3" width="20.7109375" bestFit="1" customWidth="1"/>
    <col min="4" max="4" width="14.28515625" bestFit="1" customWidth="1"/>
    <col min="5" max="5" width="12.140625" bestFit="1" customWidth="1"/>
    <col min="6" max="6" width="14.140625" bestFit="1" customWidth="1"/>
    <col min="7" max="7" width="15.85546875" bestFit="1" customWidth="1"/>
    <col min="8" max="8" width="30.7109375" customWidth="1"/>
    <col min="9" max="9" width="29.28515625" customWidth="1"/>
    <col min="10" max="10" width="17" bestFit="1" customWidth="1"/>
    <col min="11" max="11" width="12.5703125" style="1" bestFit="1" customWidth="1"/>
    <col min="12" max="12" width="16.140625" style="1" bestFit="1" customWidth="1"/>
    <col min="13" max="13" width="18.85546875" bestFit="1" customWidth="1"/>
    <col min="14" max="14" width="15.7109375" customWidth="1"/>
    <col min="15" max="15" width="12.28515625" bestFit="1" customWidth="1"/>
  </cols>
  <sheetData>
    <row r="1" spans="1:15" x14ac:dyDescent="0.25">
      <c r="A1" t="s">
        <v>975</v>
      </c>
      <c r="B1" t="s">
        <v>0</v>
      </c>
      <c r="C1" t="s">
        <v>1184</v>
      </c>
      <c r="D1" t="s">
        <v>1185</v>
      </c>
      <c r="E1" t="s">
        <v>1186</v>
      </c>
      <c r="F1" t="s">
        <v>1187</v>
      </c>
      <c r="G1" t="s">
        <v>1188</v>
      </c>
      <c r="H1" t="s">
        <v>1189</v>
      </c>
      <c r="I1" t="s">
        <v>1190</v>
      </c>
      <c r="J1" t="s">
        <v>1521</v>
      </c>
      <c r="K1" s="1" t="s">
        <v>1530</v>
      </c>
      <c r="L1" s="1" t="s">
        <v>1531</v>
      </c>
      <c r="M1" t="s">
        <v>1547</v>
      </c>
      <c r="N1" t="s">
        <v>1548</v>
      </c>
      <c r="O1" t="s">
        <v>1552</v>
      </c>
    </row>
    <row r="2" spans="1:15" x14ac:dyDescent="0.25">
      <c r="A2">
        <v>690</v>
      </c>
      <c r="B2">
        <v>230</v>
      </c>
      <c r="C2" t="s">
        <v>1191</v>
      </c>
      <c r="D2" t="s">
        <v>1192</v>
      </c>
      <c r="E2" t="s">
        <v>1193</v>
      </c>
      <c r="F2">
        <v>553</v>
      </c>
      <c r="G2">
        <v>1210</v>
      </c>
      <c r="H2" t="s">
        <v>1194</v>
      </c>
      <c r="I2" t="s">
        <v>1195</v>
      </c>
      <c r="J2" t="str">
        <f>_xlfn.XLOOKUP(A2,Status!A:A,Status!B:B)</f>
        <v>DELIVERED</v>
      </c>
      <c r="K2" s="1">
        <f>_xlfn.XLOOKUP(A2,Status!A:A,Status!C:C)</f>
        <v>41757</v>
      </c>
      <c r="L2" s="1">
        <f>_xlfn.XLOOKUP(A2,Status!A:A,Status!D:D)</f>
        <v>41991</v>
      </c>
      <c r="M2" t="str">
        <f t="shared" ref="M2:M33" si="0">IF(F2&gt;500,"Heavy","Light")</f>
        <v>Heavy</v>
      </c>
      <c r="N2">
        <f t="shared" ref="N2:N33" si="1">IF(OR(L2=0,K2=0),"",ABS(L2-K2))</f>
        <v>234</v>
      </c>
      <c r="O2" s="4">
        <f t="shared" ref="O2:O33" si="2">F2/G2</f>
        <v>0.45702479338842977</v>
      </c>
    </row>
    <row r="3" spans="1:15" x14ac:dyDescent="0.25">
      <c r="A3">
        <v>933</v>
      </c>
      <c r="B3">
        <v>3189</v>
      </c>
      <c r="C3" t="s">
        <v>1191</v>
      </c>
      <c r="D3" t="s">
        <v>1196</v>
      </c>
      <c r="E3" t="s">
        <v>1197</v>
      </c>
      <c r="F3">
        <v>810</v>
      </c>
      <c r="G3">
        <v>1114</v>
      </c>
      <c r="H3" t="s">
        <v>1198</v>
      </c>
      <c r="I3" t="s">
        <v>1199</v>
      </c>
      <c r="J3" t="str">
        <f>_xlfn.XLOOKUP(A3,Status!A:A,Status!B:B)</f>
        <v>DELIVERED</v>
      </c>
      <c r="K3" s="1">
        <f>_xlfn.XLOOKUP(A3,Status!A:A,Status!C:C)</f>
        <v>35595</v>
      </c>
      <c r="L3" s="1">
        <f>_xlfn.XLOOKUP(A3,Status!A:A,Status!D:D)</f>
        <v>35621</v>
      </c>
      <c r="M3" t="str">
        <f t="shared" si="0"/>
        <v>Heavy</v>
      </c>
      <c r="N3">
        <f t="shared" si="1"/>
        <v>26</v>
      </c>
      <c r="O3" s="4">
        <f t="shared" si="2"/>
        <v>0.72710951526032319</v>
      </c>
    </row>
    <row r="4" spans="1:15" x14ac:dyDescent="0.25">
      <c r="A4">
        <v>261</v>
      </c>
      <c r="B4">
        <v>2216</v>
      </c>
      <c r="C4" t="s">
        <v>1200</v>
      </c>
      <c r="D4" t="s">
        <v>1192</v>
      </c>
      <c r="E4" t="s">
        <v>1197</v>
      </c>
      <c r="F4">
        <v>994</v>
      </c>
      <c r="G4">
        <v>1020</v>
      </c>
      <c r="H4" t="s">
        <v>1201</v>
      </c>
      <c r="I4" t="s">
        <v>1202</v>
      </c>
      <c r="J4" t="str">
        <f>_xlfn.XLOOKUP(A4,Status!A:A,Status!B:B)</f>
        <v>NOT DELIVERED</v>
      </c>
      <c r="K4" s="1">
        <f>_xlfn.XLOOKUP(A4,Status!A:A,Status!C:C)</f>
        <v>34195</v>
      </c>
      <c r="L4" s="1">
        <f>_xlfn.XLOOKUP(A4,Status!A:A,Status!D:D)</f>
        <v>0</v>
      </c>
      <c r="M4" t="str">
        <f t="shared" si="0"/>
        <v>Heavy</v>
      </c>
      <c r="N4" t="str">
        <f t="shared" si="1"/>
        <v/>
      </c>
      <c r="O4" s="4">
        <f t="shared" si="2"/>
        <v>0.97450980392156861</v>
      </c>
    </row>
    <row r="5" spans="1:15" x14ac:dyDescent="0.25">
      <c r="A5">
        <v>445</v>
      </c>
      <c r="B5">
        <v>1904</v>
      </c>
      <c r="C5" t="s">
        <v>1203</v>
      </c>
      <c r="D5" t="s">
        <v>1192</v>
      </c>
      <c r="E5" t="s">
        <v>1197</v>
      </c>
      <c r="F5">
        <v>598</v>
      </c>
      <c r="G5">
        <v>1351</v>
      </c>
      <c r="H5" t="s">
        <v>1204</v>
      </c>
      <c r="I5" t="s">
        <v>1205</v>
      </c>
      <c r="J5" t="str">
        <f>_xlfn.XLOOKUP(A5,Status!A:A,Status!B:B)</f>
        <v>NOT DELIVERED</v>
      </c>
      <c r="K5" s="1">
        <f>_xlfn.XLOOKUP(A5,Status!A:A,Status!C:C)</f>
        <v>43812</v>
      </c>
      <c r="L5" s="1">
        <f>_xlfn.XLOOKUP(A5,Status!A:A,Status!D:D)</f>
        <v>0</v>
      </c>
      <c r="M5" t="str">
        <f t="shared" si="0"/>
        <v>Heavy</v>
      </c>
      <c r="N5" t="str">
        <f t="shared" si="1"/>
        <v/>
      </c>
      <c r="O5" s="4">
        <f t="shared" si="2"/>
        <v>0.44263508512213173</v>
      </c>
    </row>
    <row r="6" spans="1:15" x14ac:dyDescent="0.25">
      <c r="A6">
        <v>722</v>
      </c>
      <c r="B6">
        <v>7342</v>
      </c>
      <c r="C6" t="s">
        <v>1206</v>
      </c>
      <c r="D6" t="s">
        <v>1196</v>
      </c>
      <c r="E6" t="s">
        <v>1197</v>
      </c>
      <c r="F6">
        <v>412</v>
      </c>
      <c r="G6">
        <v>566</v>
      </c>
      <c r="H6" t="s">
        <v>1207</v>
      </c>
      <c r="I6" t="s">
        <v>1208</v>
      </c>
      <c r="J6" t="str">
        <f>_xlfn.XLOOKUP(A6,Status!A:A,Status!B:B)</f>
        <v>NOT DELIVERED</v>
      </c>
      <c r="K6" s="1">
        <f>_xlfn.XLOOKUP(A6,Status!A:A,Status!C:C)</f>
        <v>35329</v>
      </c>
      <c r="L6" s="1">
        <f>_xlfn.XLOOKUP(A6,Status!A:A,Status!D:D)</f>
        <v>0</v>
      </c>
      <c r="M6" t="str">
        <f t="shared" si="0"/>
        <v>Light</v>
      </c>
      <c r="N6" t="str">
        <f t="shared" si="1"/>
        <v/>
      </c>
      <c r="O6" s="4">
        <f t="shared" si="2"/>
        <v>0.72791519434628971</v>
      </c>
    </row>
    <row r="7" spans="1:15" x14ac:dyDescent="0.25">
      <c r="A7">
        <v>129</v>
      </c>
      <c r="B7">
        <v>7633</v>
      </c>
      <c r="C7" t="s">
        <v>1209</v>
      </c>
      <c r="D7" t="s">
        <v>1192</v>
      </c>
      <c r="E7" t="s">
        <v>1193</v>
      </c>
      <c r="F7">
        <v>379</v>
      </c>
      <c r="G7">
        <v>590</v>
      </c>
      <c r="H7" t="s">
        <v>1210</v>
      </c>
      <c r="I7" t="s">
        <v>1211</v>
      </c>
      <c r="J7" t="str">
        <f>_xlfn.XLOOKUP(A7,Status!A:A,Status!B:B)</f>
        <v>DELIVERED</v>
      </c>
      <c r="K7" s="1">
        <f>_xlfn.XLOOKUP(A7,Status!A:A,Status!C:C)</f>
        <v>26046</v>
      </c>
      <c r="L7" s="1">
        <f>_xlfn.XLOOKUP(A7,Status!A:A,Status!D:D)</f>
        <v>26238</v>
      </c>
      <c r="M7" t="str">
        <f t="shared" si="0"/>
        <v>Light</v>
      </c>
      <c r="N7">
        <f t="shared" si="1"/>
        <v>192</v>
      </c>
      <c r="O7" s="4">
        <f t="shared" si="2"/>
        <v>0.64237288135593218</v>
      </c>
    </row>
    <row r="8" spans="1:15" x14ac:dyDescent="0.25">
      <c r="A8">
        <v>489</v>
      </c>
      <c r="B8">
        <v>2154</v>
      </c>
      <c r="C8" t="s">
        <v>1212</v>
      </c>
      <c r="D8" t="s">
        <v>1192</v>
      </c>
      <c r="E8" t="s">
        <v>1193</v>
      </c>
      <c r="F8">
        <v>892</v>
      </c>
      <c r="G8">
        <v>1407</v>
      </c>
      <c r="H8" t="s">
        <v>1213</v>
      </c>
      <c r="I8" t="s">
        <v>1214</v>
      </c>
      <c r="J8" t="str">
        <f>_xlfn.XLOOKUP(A8,Status!A:A,Status!B:B)</f>
        <v>NOT DELIVERED</v>
      </c>
      <c r="K8" s="1">
        <f>_xlfn.XLOOKUP(A8,Status!A:A,Status!C:C)</f>
        <v>38707</v>
      </c>
      <c r="L8" s="1">
        <f>_xlfn.XLOOKUP(A8,Status!A:A,Status!D:D)</f>
        <v>0</v>
      </c>
      <c r="M8" t="str">
        <f t="shared" si="0"/>
        <v>Heavy</v>
      </c>
      <c r="N8" t="str">
        <f t="shared" si="1"/>
        <v/>
      </c>
      <c r="O8" s="4">
        <f t="shared" si="2"/>
        <v>0.63397299218194736</v>
      </c>
    </row>
    <row r="9" spans="1:15" x14ac:dyDescent="0.25">
      <c r="A9">
        <v>165</v>
      </c>
      <c r="B9">
        <v>5543</v>
      </c>
      <c r="C9" t="s">
        <v>1215</v>
      </c>
      <c r="D9" t="s">
        <v>1192</v>
      </c>
      <c r="E9" t="s">
        <v>1193</v>
      </c>
      <c r="F9">
        <v>347</v>
      </c>
      <c r="G9">
        <v>786</v>
      </c>
      <c r="H9" t="s">
        <v>1216</v>
      </c>
      <c r="I9" t="s">
        <v>845</v>
      </c>
      <c r="J9" t="str">
        <f>_xlfn.XLOOKUP(A9,Status!A:A,Status!B:B)</f>
        <v>NOT DELIVERED</v>
      </c>
      <c r="K9" s="1">
        <f>_xlfn.XLOOKUP(A9,Status!A:A,Status!C:C)</f>
        <v>29039</v>
      </c>
      <c r="L9" s="1">
        <f>_xlfn.XLOOKUP(A9,Status!A:A,Status!D:D)</f>
        <v>0</v>
      </c>
      <c r="M9" t="str">
        <f t="shared" si="0"/>
        <v>Light</v>
      </c>
      <c r="N9" t="str">
        <f t="shared" si="1"/>
        <v/>
      </c>
      <c r="O9" s="4">
        <f t="shared" si="2"/>
        <v>0.44147582697201015</v>
      </c>
    </row>
    <row r="10" spans="1:15" x14ac:dyDescent="0.25">
      <c r="A10">
        <v>164</v>
      </c>
      <c r="B10">
        <v>2332</v>
      </c>
      <c r="C10" t="s">
        <v>1217</v>
      </c>
      <c r="D10" t="s">
        <v>1196</v>
      </c>
      <c r="E10" t="s">
        <v>1197</v>
      </c>
      <c r="F10">
        <v>457</v>
      </c>
      <c r="G10">
        <v>855</v>
      </c>
      <c r="H10" t="s">
        <v>1218</v>
      </c>
      <c r="I10" t="s">
        <v>1219</v>
      </c>
      <c r="J10" t="str">
        <f>_xlfn.XLOOKUP(A10,Status!A:A,Status!B:B)</f>
        <v>NOT DELIVERED</v>
      </c>
      <c r="K10" s="1">
        <f>_xlfn.XLOOKUP(A10,Status!A:A,Status!C:C)</f>
        <v>27879</v>
      </c>
      <c r="L10" s="1">
        <f>_xlfn.XLOOKUP(A10,Status!A:A,Status!D:D)</f>
        <v>0</v>
      </c>
      <c r="M10" t="str">
        <f t="shared" si="0"/>
        <v>Light</v>
      </c>
      <c r="N10" t="str">
        <f t="shared" si="1"/>
        <v/>
      </c>
      <c r="O10" s="4">
        <f t="shared" si="2"/>
        <v>0.53450292397660815</v>
      </c>
    </row>
    <row r="11" spans="1:15" x14ac:dyDescent="0.25">
      <c r="A11">
        <v>364</v>
      </c>
      <c r="B11">
        <v>4094</v>
      </c>
      <c r="C11" t="s">
        <v>1220</v>
      </c>
      <c r="D11" t="s">
        <v>1196</v>
      </c>
      <c r="E11" t="s">
        <v>1197</v>
      </c>
      <c r="F11">
        <v>957</v>
      </c>
      <c r="G11">
        <v>1182</v>
      </c>
      <c r="H11" t="s">
        <v>1221</v>
      </c>
      <c r="I11" t="s">
        <v>1222</v>
      </c>
      <c r="J11" t="str">
        <f>_xlfn.XLOOKUP(A11,Status!A:A,Status!B:B)</f>
        <v>NOT DELIVERED</v>
      </c>
      <c r="K11" s="1">
        <f>_xlfn.XLOOKUP(A11,Status!A:A,Status!C:C)</f>
        <v>40971</v>
      </c>
      <c r="L11" s="1">
        <f>_xlfn.XLOOKUP(A11,Status!A:A,Status!D:D)</f>
        <v>0</v>
      </c>
      <c r="M11" t="str">
        <f t="shared" si="0"/>
        <v>Heavy</v>
      </c>
      <c r="N11" t="str">
        <f t="shared" si="1"/>
        <v/>
      </c>
      <c r="O11" s="4">
        <f t="shared" si="2"/>
        <v>0.80964467005076146</v>
      </c>
    </row>
    <row r="12" spans="1:15" x14ac:dyDescent="0.25">
      <c r="A12">
        <v>469</v>
      </c>
      <c r="B12">
        <v>3042</v>
      </c>
      <c r="C12" t="s">
        <v>1206</v>
      </c>
      <c r="D12" t="s">
        <v>1196</v>
      </c>
      <c r="E12" t="s">
        <v>1193</v>
      </c>
      <c r="F12">
        <v>23</v>
      </c>
      <c r="G12">
        <v>25</v>
      </c>
      <c r="H12" t="s">
        <v>1223</v>
      </c>
      <c r="I12" t="s">
        <v>1224</v>
      </c>
      <c r="J12" t="str">
        <f>_xlfn.XLOOKUP(A12,Status!A:A,Status!B:B)</f>
        <v>DELIVERED</v>
      </c>
      <c r="K12" s="1">
        <f>_xlfn.XLOOKUP(A12,Status!A:A,Status!C:C)</f>
        <v>33287</v>
      </c>
      <c r="L12" s="1">
        <f>_xlfn.XLOOKUP(A12,Status!A:A,Status!D:D)</f>
        <v>33373</v>
      </c>
      <c r="M12" t="str">
        <f t="shared" si="0"/>
        <v>Light</v>
      </c>
      <c r="N12">
        <f t="shared" si="1"/>
        <v>86</v>
      </c>
      <c r="O12" s="4">
        <f t="shared" si="2"/>
        <v>0.92</v>
      </c>
    </row>
    <row r="13" spans="1:15" x14ac:dyDescent="0.25">
      <c r="A13">
        <v>158</v>
      </c>
      <c r="B13">
        <v>2220</v>
      </c>
      <c r="C13" t="s">
        <v>1191</v>
      </c>
      <c r="D13" t="s">
        <v>1192</v>
      </c>
      <c r="E13" t="s">
        <v>1197</v>
      </c>
      <c r="F13">
        <v>479</v>
      </c>
      <c r="G13">
        <v>861</v>
      </c>
      <c r="H13" t="s">
        <v>21</v>
      </c>
      <c r="I13" t="s">
        <v>1225</v>
      </c>
      <c r="J13" t="str">
        <f>_xlfn.XLOOKUP(A13,Status!A:A,Status!B:B)</f>
        <v>DELIVERED</v>
      </c>
      <c r="K13" s="1">
        <f>_xlfn.XLOOKUP(A13,Status!A:A,Status!C:C)</f>
        <v>27850</v>
      </c>
      <c r="L13" s="1">
        <f>_xlfn.XLOOKUP(A13,Status!A:A,Status!D:D)</f>
        <v>27941</v>
      </c>
      <c r="M13" t="str">
        <f t="shared" si="0"/>
        <v>Light</v>
      </c>
      <c r="N13">
        <f t="shared" si="1"/>
        <v>91</v>
      </c>
      <c r="O13" s="4">
        <f t="shared" si="2"/>
        <v>0.55632984901277582</v>
      </c>
    </row>
    <row r="14" spans="1:15" x14ac:dyDescent="0.25">
      <c r="A14">
        <v>337</v>
      </c>
      <c r="B14">
        <v>4988</v>
      </c>
      <c r="C14" t="s">
        <v>1206</v>
      </c>
      <c r="D14" t="s">
        <v>1192</v>
      </c>
      <c r="E14" t="s">
        <v>1197</v>
      </c>
      <c r="F14">
        <v>305</v>
      </c>
      <c r="G14">
        <v>834</v>
      </c>
      <c r="H14" t="s">
        <v>1226</v>
      </c>
      <c r="I14" t="s">
        <v>1227</v>
      </c>
      <c r="J14" t="str">
        <f>_xlfn.XLOOKUP(A14,Status!A:A,Status!B:B)</f>
        <v>NOT DELIVERED</v>
      </c>
      <c r="K14" s="1">
        <f>_xlfn.XLOOKUP(A14,Status!A:A,Status!C:C)</f>
        <v>27891</v>
      </c>
      <c r="L14" s="1">
        <f>_xlfn.XLOOKUP(A14,Status!A:A,Status!D:D)</f>
        <v>0</v>
      </c>
      <c r="M14" t="str">
        <f t="shared" si="0"/>
        <v>Light</v>
      </c>
      <c r="N14" t="str">
        <f t="shared" si="1"/>
        <v/>
      </c>
      <c r="O14" s="4">
        <f t="shared" si="2"/>
        <v>0.3657074340527578</v>
      </c>
    </row>
    <row r="15" spans="1:15" x14ac:dyDescent="0.25">
      <c r="A15">
        <v>634</v>
      </c>
      <c r="B15">
        <v>175</v>
      </c>
      <c r="C15" t="s">
        <v>1191</v>
      </c>
      <c r="D15" t="s">
        <v>1196</v>
      </c>
      <c r="E15" t="s">
        <v>1197</v>
      </c>
      <c r="F15">
        <v>939</v>
      </c>
      <c r="G15">
        <v>1446</v>
      </c>
      <c r="H15" t="s">
        <v>1228</v>
      </c>
      <c r="I15" t="s">
        <v>1229</v>
      </c>
      <c r="J15" t="str">
        <f>_xlfn.XLOOKUP(A15,Status!A:A,Status!B:B)</f>
        <v>NOT DELIVERED</v>
      </c>
      <c r="K15" s="1">
        <f>_xlfn.XLOOKUP(A15,Status!A:A,Status!C:C)</f>
        <v>29501</v>
      </c>
      <c r="L15" s="1">
        <f>_xlfn.XLOOKUP(A15,Status!A:A,Status!D:D)</f>
        <v>0</v>
      </c>
      <c r="M15" t="str">
        <f t="shared" si="0"/>
        <v>Heavy</v>
      </c>
      <c r="N15" t="str">
        <f t="shared" si="1"/>
        <v/>
      </c>
      <c r="O15" s="4">
        <f t="shared" si="2"/>
        <v>0.64937759336099588</v>
      </c>
    </row>
    <row r="16" spans="1:15" x14ac:dyDescent="0.25">
      <c r="A16">
        <v>577</v>
      </c>
      <c r="B16">
        <v>4233</v>
      </c>
      <c r="C16" t="s">
        <v>1212</v>
      </c>
      <c r="D16" t="s">
        <v>1192</v>
      </c>
      <c r="E16" t="s">
        <v>1193</v>
      </c>
      <c r="F16">
        <v>679</v>
      </c>
      <c r="G16">
        <v>1455</v>
      </c>
      <c r="H16" t="s">
        <v>1230</v>
      </c>
      <c r="I16" t="s">
        <v>21</v>
      </c>
      <c r="J16" t="str">
        <f>_xlfn.XLOOKUP(A16,Status!A:A,Status!B:B)</f>
        <v>DELIVERED</v>
      </c>
      <c r="K16" s="1">
        <f>_xlfn.XLOOKUP(A16,Status!A:A,Status!C:C)</f>
        <v>31855</v>
      </c>
      <c r="L16" s="1">
        <f>_xlfn.XLOOKUP(A16,Status!A:A,Status!D:D)</f>
        <v>31998</v>
      </c>
      <c r="M16" t="str">
        <f t="shared" si="0"/>
        <v>Heavy</v>
      </c>
      <c r="N16">
        <f t="shared" si="1"/>
        <v>143</v>
      </c>
      <c r="O16" s="4">
        <f t="shared" si="2"/>
        <v>0.46666666666666667</v>
      </c>
    </row>
    <row r="17" spans="1:15" x14ac:dyDescent="0.25">
      <c r="A17">
        <v>907</v>
      </c>
      <c r="B17">
        <v>4351</v>
      </c>
      <c r="C17" t="s">
        <v>1206</v>
      </c>
      <c r="D17" t="s">
        <v>1196</v>
      </c>
      <c r="E17" t="s">
        <v>1197</v>
      </c>
      <c r="F17">
        <v>803</v>
      </c>
      <c r="G17">
        <v>1020</v>
      </c>
      <c r="H17" t="s">
        <v>1231</v>
      </c>
      <c r="I17" t="s">
        <v>836</v>
      </c>
      <c r="J17" t="str">
        <f>_xlfn.XLOOKUP(A17,Status!A:A,Status!B:B)</f>
        <v>NOT DELIVERED</v>
      </c>
      <c r="K17" s="1">
        <f>_xlfn.XLOOKUP(A17,Status!A:A,Status!C:C)</f>
        <v>41478</v>
      </c>
      <c r="L17" s="1">
        <f>_xlfn.XLOOKUP(A17,Status!A:A,Status!D:D)</f>
        <v>0</v>
      </c>
      <c r="M17" t="str">
        <f t="shared" si="0"/>
        <v>Heavy</v>
      </c>
      <c r="N17" t="str">
        <f t="shared" si="1"/>
        <v/>
      </c>
      <c r="O17" s="4">
        <f t="shared" si="2"/>
        <v>0.78725490196078429</v>
      </c>
    </row>
    <row r="18" spans="1:15" x14ac:dyDescent="0.25">
      <c r="A18">
        <v>870</v>
      </c>
      <c r="B18">
        <v>5578</v>
      </c>
      <c r="C18" t="s">
        <v>1232</v>
      </c>
      <c r="D18" t="s">
        <v>1192</v>
      </c>
      <c r="E18" t="s">
        <v>1193</v>
      </c>
      <c r="F18">
        <v>783</v>
      </c>
      <c r="G18">
        <v>1042</v>
      </c>
      <c r="H18" t="s">
        <v>1233</v>
      </c>
      <c r="I18" t="s">
        <v>1234</v>
      </c>
      <c r="J18" t="str">
        <f>_xlfn.XLOOKUP(A18,Status!A:A,Status!B:B)</f>
        <v>NOT DELIVERED</v>
      </c>
      <c r="K18" s="1">
        <f>_xlfn.XLOOKUP(A18,Status!A:A,Status!C:C)</f>
        <v>40239</v>
      </c>
      <c r="L18" s="1">
        <f>_xlfn.XLOOKUP(A18,Status!A:A,Status!D:D)</f>
        <v>0</v>
      </c>
      <c r="M18" t="str">
        <f t="shared" si="0"/>
        <v>Heavy</v>
      </c>
      <c r="N18" t="str">
        <f t="shared" si="1"/>
        <v/>
      </c>
      <c r="O18" s="4">
        <f t="shared" si="2"/>
        <v>0.75143953934740881</v>
      </c>
    </row>
    <row r="19" spans="1:15" x14ac:dyDescent="0.25">
      <c r="A19">
        <v>982</v>
      </c>
      <c r="B19">
        <v>4523</v>
      </c>
      <c r="C19" t="s">
        <v>1215</v>
      </c>
      <c r="D19" t="s">
        <v>1192</v>
      </c>
      <c r="E19" t="s">
        <v>1193</v>
      </c>
      <c r="F19">
        <v>432</v>
      </c>
      <c r="G19">
        <v>915</v>
      </c>
      <c r="H19" t="s">
        <v>21</v>
      </c>
      <c r="I19" t="s">
        <v>1235</v>
      </c>
      <c r="J19" t="str">
        <f>_xlfn.XLOOKUP(A19,Status!A:A,Status!B:B)</f>
        <v>NOT DELIVERED</v>
      </c>
      <c r="K19" s="1">
        <f>_xlfn.XLOOKUP(A19,Status!A:A,Status!C:C)</f>
        <v>43025</v>
      </c>
      <c r="L19" s="1">
        <f>_xlfn.XLOOKUP(A19,Status!A:A,Status!D:D)</f>
        <v>0</v>
      </c>
      <c r="M19" t="str">
        <f t="shared" si="0"/>
        <v>Light</v>
      </c>
      <c r="N19" t="str">
        <f t="shared" si="1"/>
        <v/>
      </c>
      <c r="O19" s="4">
        <f t="shared" si="2"/>
        <v>0.47213114754098362</v>
      </c>
    </row>
    <row r="20" spans="1:15" x14ac:dyDescent="0.25">
      <c r="A20">
        <v>351</v>
      </c>
      <c r="B20">
        <v>2972</v>
      </c>
      <c r="C20" t="s">
        <v>1215</v>
      </c>
      <c r="D20" t="s">
        <v>1192</v>
      </c>
      <c r="E20" t="s">
        <v>1193</v>
      </c>
      <c r="F20">
        <v>776</v>
      </c>
      <c r="G20">
        <v>1053</v>
      </c>
      <c r="H20" t="s">
        <v>1236</v>
      </c>
      <c r="I20" t="s">
        <v>1237</v>
      </c>
      <c r="J20" t="str">
        <f>_xlfn.XLOOKUP(A20,Status!A:A,Status!B:B)</f>
        <v>DELIVERED</v>
      </c>
      <c r="K20" s="1">
        <f>_xlfn.XLOOKUP(A20,Status!A:A,Status!C:C)</f>
        <v>28128</v>
      </c>
      <c r="L20" s="1">
        <f>_xlfn.XLOOKUP(A20,Status!A:A,Status!D:D)</f>
        <v>28312</v>
      </c>
      <c r="M20" t="str">
        <f t="shared" si="0"/>
        <v>Heavy</v>
      </c>
      <c r="N20">
        <f t="shared" si="1"/>
        <v>184</v>
      </c>
      <c r="O20" s="4">
        <f t="shared" si="2"/>
        <v>0.73694207027540359</v>
      </c>
    </row>
    <row r="21" spans="1:15" x14ac:dyDescent="0.25">
      <c r="A21">
        <v>328</v>
      </c>
      <c r="B21">
        <v>6153</v>
      </c>
      <c r="C21" t="s">
        <v>1191</v>
      </c>
      <c r="D21" t="s">
        <v>1192</v>
      </c>
      <c r="E21" t="s">
        <v>1197</v>
      </c>
      <c r="F21">
        <v>710</v>
      </c>
      <c r="G21">
        <v>1066</v>
      </c>
      <c r="H21" t="s">
        <v>1238</v>
      </c>
      <c r="I21" t="s">
        <v>1239</v>
      </c>
      <c r="J21" t="str">
        <f>_xlfn.XLOOKUP(A21,Status!A:A,Status!B:B)</f>
        <v>DELIVERED</v>
      </c>
      <c r="K21" s="1">
        <f>_xlfn.XLOOKUP(A21,Status!A:A,Status!C:C)</f>
        <v>35450</v>
      </c>
      <c r="L21" s="1">
        <f>_xlfn.XLOOKUP(A21,Status!A:A,Status!D:D)</f>
        <v>35681</v>
      </c>
      <c r="M21" t="str">
        <f t="shared" si="0"/>
        <v>Heavy</v>
      </c>
      <c r="N21">
        <f t="shared" si="1"/>
        <v>231</v>
      </c>
      <c r="O21" s="4">
        <f t="shared" si="2"/>
        <v>0.66604127579737338</v>
      </c>
    </row>
    <row r="22" spans="1:15" x14ac:dyDescent="0.25">
      <c r="A22">
        <v>242</v>
      </c>
      <c r="B22">
        <v>4852</v>
      </c>
      <c r="C22" t="s">
        <v>1232</v>
      </c>
      <c r="D22" t="s">
        <v>1192</v>
      </c>
      <c r="E22" t="s">
        <v>1193</v>
      </c>
      <c r="F22">
        <v>959</v>
      </c>
      <c r="G22">
        <v>1253</v>
      </c>
      <c r="H22" t="s">
        <v>1240</v>
      </c>
      <c r="I22" t="s">
        <v>1241</v>
      </c>
      <c r="J22" t="str">
        <f>_xlfn.XLOOKUP(A22,Status!A:A,Status!B:B)</f>
        <v>NOT DELIVERED</v>
      </c>
      <c r="K22" s="1">
        <f>_xlfn.XLOOKUP(A22,Status!A:A,Status!C:C)</f>
        <v>35408</v>
      </c>
      <c r="L22" s="1">
        <f>_xlfn.XLOOKUP(A22,Status!A:A,Status!D:D)</f>
        <v>0</v>
      </c>
      <c r="M22" t="str">
        <f t="shared" si="0"/>
        <v>Heavy</v>
      </c>
      <c r="N22" t="str">
        <f t="shared" si="1"/>
        <v/>
      </c>
      <c r="O22" s="4">
        <f t="shared" si="2"/>
        <v>0.76536312849162014</v>
      </c>
    </row>
    <row r="23" spans="1:15" x14ac:dyDescent="0.25">
      <c r="A23">
        <v>421</v>
      </c>
      <c r="B23">
        <v>8106</v>
      </c>
      <c r="C23" t="s">
        <v>1220</v>
      </c>
      <c r="D23" t="s">
        <v>1196</v>
      </c>
      <c r="E23" t="s">
        <v>1193</v>
      </c>
      <c r="F23">
        <v>147</v>
      </c>
      <c r="G23">
        <v>535</v>
      </c>
      <c r="H23" t="s">
        <v>21</v>
      </c>
      <c r="I23" t="s">
        <v>1242</v>
      </c>
      <c r="J23" t="str">
        <f>_xlfn.XLOOKUP(A23,Status!A:A,Status!B:B)</f>
        <v>DELIVERED</v>
      </c>
      <c r="K23" s="1">
        <f>_xlfn.XLOOKUP(A23,Status!A:A,Status!C:C)</f>
        <v>36198</v>
      </c>
      <c r="L23" s="1">
        <f>_xlfn.XLOOKUP(A23,Status!A:A,Status!D:D)</f>
        <v>36224</v>
      </c>
      <c r="M23" t="str">
        <f t="shared" si="0"/>
        <v>Light</v>
      </c>
      <c r="N23">
        <f t="shared" si="1"/>
        <v>26</v>
      </c>
      <c r="O23" s="4">
        <f t="shared" si="2"/>
        <v>0.27476635514018694</v>
      </c>
    </row>
    <row r="24" spans="1:15" x14ac:dyDescent="0.25">
      <c r="A24">
        <v>6</v>
      </c>
      <c r="B24">
        <v>3917</v>
      </c>
      <c r="C24" t="s">
        <v>1243</v>
      </c>
      <c r="D24" t="s">
        <v>1196</v>
      </c>
      <c r="E24" t="s">
        <v>1197</v>
      </c>
      <c r="F24">
        <v>613</v>
      </c>
      <c r="G24">
        <v>1256</v>
      </c>
      <c r="H24" t="s">
        <v>21</v>
      </c>
      <c r="I24" t="s">
        <v>640</v>
      </c>
      <c r="J24" t="str">
        <f>_xlfn.XLOOKUP(A24,Status!A:A,Status!B:B)</f>
        <v>DELIVERED</v>
      </c>
      <c r="K24" s="1">
        <f>_xlfn.XLOOKUP(A24,Status!A:A,Status!C:C)</f>
        <v>28192</v>
      </c>
      <c r="L24" s="1">
        <f>_xlfn.XLOOKUP(A24,Status!A:A,Status!D:D)</f>
        <v>28437</v>
      </c>
      <c r="M24" t="str">
        <f t="shared" si="0"/>
        <v>Heavy</v>
      </c>
      <c r="N24">
        <f t="shared" si="1"/>
        <v>245</v>
      </c>
      <c r="O24" s="4">
        <f t="shared" si="2"/>
        <v>0.48805732484076431</v>
      </c>
    </row>
    <row r="25" spans="1:15" x14ac:dyDescent="0.25">
      <c r="A25">
        <v>384</v>
      </c>
      <c r="B25">
        <v>9377</v>
      </c>
      <c r="C25" t="s">
        <v>1200</v>
      </c>
      <c r="D25" t="s">
        <v>1192</v>
      </c>
      <c r="E25" t="s">
        <v>1193</v>
      </c>
      <c r="F25">
        <v>590</v>
      </c>
      <c r="G25">
        <v>1033</v>
      </c>
      <c r="H25" t="s">
        <v>1244</v>
      </c>
      <c r="I25" t="s">
        <v>1245</v>
      </c>
      <c r="J25" t="str">
        <f>_xlfn.XLOOKUP(A25,Status!A:A,Status!B:B)</f>
        <v>NOT DELIVERED</v>
      </c>
      <c r="K25" s="1">
        <f>_xlfn.XLOOKUP(A25,Status!A:A,Status!C:C)</f>
        <v>26350</v>
      </c>
      <c r="L25" s="1">
        <f>_xlfn.XLOOKUP(A25,Status!A:A,Status!D:D)</f>
        <v>0</v>
      </c>
      <c r="M25" t="str">
        <f t="shared" si="0"/>
        <v>Heavy</v>
      </c>
      <c r="N25" t="str">
        <f t="shared" si="1"/>
        <v/>
      </c>
      <c r="O25" s="4">
        <f t="shared" si="2"/>
        <v>0.57115198451113258</v>
      </c>
    </row>
    <row r="26" spans="1:15" x14ac:dyDescent="0.25">
      <c r="A26">
        <v>286</v>
      </c>
      <c r="B26">
        <v>5387</v>
      </c>
      <c r="C26" t="s">
        <v>1206</v>
      </c>
      <c r="D26" t="s">
        <v>1192</v>
      </c>
      <c r="E26" t="s">
        <v>1193</v>
      </c>
      <c r="F26">
        <v>193</v>
      </c>
      <c r="G26">
        <v>817</v>
      </c>
      <c r="H26" t="s">
        <v>1246</v>
      </c>
      <c r="I26" t="s">
        <v>1247</v>
      </c>
      <c r="J26" t="str">
        <f>_xlfn.XLOOKUP(A26,Status!A:A,Status!B:B)</f>
        <v>DELIVERED</v>
      </c>
      <c r="K26" s="1">
        <f>_xlfn.XLOOKUP(A26,Status!A:A,Status!C:C)</f>
        <v>38509</v>
      </c>
      <c r="L26" s="1">
        <f>_xlfn.XLOOKUP(A26,Status!A:A,Status!D:D)</f>
        <v>38610</v>
      </c>
      <c r="M26" t="str">
        <f t="shared" si="0"/>
        <v>Light</v>
      </c>
      <c r="N26">
        <f t="shared" si="1"/>
        <v>101</v>
      </c>
      <c r="O26" s="4">
        <f t="shared" si="2"/>
        <v>0.23623011015911874</v>
      </c>
    </row>
    <row r="27" spans="1:15" x14ac:dyDescent="0.25">
      <c r="A27">
        <v>892</v>
      </c>
      <c r="B27">
        <v>6513</v>
      </c>
      <c r="C27" t="s">
        <v>1200</v>
      </c>
      <c r="D27" t="s">
        <v>1192</v>
      </c>
      <c r="E27" t="s">
        <v>1193</v>
      </c>
      <c r="F27">
        <v>879</v>
      </c>
      <c r="G27">
        <v>1037</v>
      </c>
      <c r="H27" t="s">
        <v>1248</v>
      </c>
      <c r="I27" t="s">
        <v>1249</v>
      </c>
      <c r="J27" t="str">
        <f>_xlfn.XLOOKUP(A27,Status!A:A,Status!B:B)</f>
        <v>DELIVERED</v>
      </c>
      <c r="K27" s="1">
        <f>_xlfn.XLOOKUP(A27,Status!A:A,Status!C:C)</f>
        <v>43786</v>
      </c>
      <c r="L27" s="1">
        <f>_xlfn.XLOOKUP(A27,Status!A:A,Status!D:D)</f>
        <v>43811</v>
      </c>
      <c r="M27" t="str">
        <f t="shared" si="0"/>
        <v>Heavy</v>
      </c>
      <c r="N27">
        <f t="shared" si="1"/>
        <v>25</v>
      </c>
      <c r="O27" s="4">
        <f t="shared" si="2"/>
        <v>0.84763741562198647</v>
      </c>
    </row>
    <row r="28" spans="1:15" x14ac:dyDescent="0.25">
      <c r="A28">
        <v>558</v>
      </c>
      <c r="B28">
        <v>3965</v>
      </c>
      <c r="C28" t="s">
        <v>1215</v>
      </c>
      <c r="D28" t="s">
        <v>1192</v>
      </c>
      <c r="E28" t="s">
        <v>1193</v>
      </c>
      <c r="F28">
        <v>275</v>
      </c>
      <c r="G28">
        <v>951</v>
      </c>
      <c r="H28" t="s">
        <v>1250</v>
      </c>
      <c r="I28" t="s">
        <v>1251</v>
      </c>
      <c r="J28" t="str">
        <f>_xlfn.XLOOKUP(A28,Status!A:A,Status!B:B)</f>
        <v>DELIVERED</v>
      </c>
      <c r="K28" s="1">
        <f>_xlfn.XLOOKUP(A28,Status!A:A,Status!C:C)</f>
        <v>41574</v>
      </c>
      <c r="L28" s="1">
        <f>_xlfn.XLOOKUP(A28,Status!A:A,Status!D:D)</f>
        <v>41593</v>
      </c>
      <c r="M28" t="str">
        <f t="shared" si="0"/>
        <v>Light</v>
      </c>
      <c r="N28">
        <f t="shared" si="1"/>
        <v>19</v>
      </c>
      <c r="O28" s="4">
        <f t="shared" si="2"/>
        <v>0.28916929547844372</v>
      </c>
    </row>
    <row r="29" spans="1:15" x14ac:dyDescent="0.25">
      <c r="A29">
        <v>481</v>
      </c>
      <c r="B29">
        <v>8893</v>
      </c>
      <c r="C29" t="s">
        <v>1232</v>
      </c>
      <c r="D29" t="s">
        <v>1196</v>
      </c>
      <c r="E29" t="s">
        <v>1193</v>
      </c>
      <c r="F29">
        <v>319</v>
      </c>
      <c r="G29">
        <v>770</v>
      </c>
      <c r="H29" t="s">
        <v>715</v>
      </c>
      <c r="I29" t="s">
        <v>1252</v>
      </c>
      <c r="J29" t="str">
        <f>_xlfn.XLOOKUP(A29,Status!A:A,Status!B:B)</f>
        <v>NOT DELIVERED</v>
      </c>
      <c r="K29" s="1">
        <f>_xlfn.XLOOKUP(A29,Status!A:A,Status!C:C)</f>
        <v>38909</v>
      </c>
      <c r="L29" s="1">
        <f>_xlfn.XLOOKUP(A29,Status!A:A,Status!D:D)</f>
        <v>0</v>
      </c>
      <c r="M29" t="str">
        <f t="shared" si="0"/>
        <v>Light</v>
      </c>
      <c r="N29" t="str">
        <f t="shared" si="1"/>
        <v/>
      </c>
      <c r="O29" s="4">
        <f t="shared" si="2"/>
        <v>0.41428571428571431</v>
      </c>
    </row>
    <row r="30" spans="1:15" x14ac:dyDescent="0.25">
      <c r="A30">
        <v>155</v>
      </c>
      <c r="B30">
        <v>1897</v>
      </c>
      <c r="C30" t="s">
        <v>1217</v>
      </c>
      <c r="D30" t="s">
        <v>1192</v>
      </c>
      <c r="E30" t="s">
        <v>1197</v>
      </c>
      <c r="F30">
        <v>52</v>
      </c>
      <c r="G30">
        <v>293</v>
      </c>
      <c r="H30" t="s">
        <v>21</v>
      </c>
      <c r="I30" t="s">
        <v>1253</v>
      </c>
      <c r="J30" t="str">
        <f>_xlfn.XLOOKUP(A30,Status!A:A,Status!B:B)</f>
        <v>NOT DELIVERED</v>
      </c>
      <c r="K30" s="1">
        <f>_xlfn.XLOOKUP(A30,Status!A:A,Status!C:C)</f>
        <v>37887</v>
      </c>
      <c r="L30" s="1">
        <f>_xlfn.XLOOKUP(A30,Status!A:A,Status!D:D)</f>
        <v>0</v>
      </c>
      <c r="M30" t="str">
        <f t="shared" si="0"/>
        <v>Light</v>
      </c>
      <c r="N30" t="str">
        <f t="shared" si="1"/>
        <v/>
      </c>
      <c r="O30" s="4">
        <f t="shared" si="2"/>
        <v>0.17747440273037543</v>
      </c>
    </row>
    <row r="31" spans="1:15" x14ac:dyDescent="0.25">
      <c r="A31">
        <v>771</v>
      </c>
      <c r="B31">
        <v>390</v>
      </c>
      <c r="C31" t="s">
        <v>1206</v>
      </c>
      <c r="D31" t="s">
        <v>1192</v>
      </c>
      <c r="E31" t="s">
        <v>1193</v>
      </c>
      <c r="F31">
        <v>702</v>
      </c>
      <c r="G31">
        <v>1414</v>
      </c>
      <c r="H31" t="s">
        <v>1254</v>
      </c>
      <c r="I31" t="s">
        <v>1255</v>
      </c>
      <c r="J31" t="str">
        <f>_xlfn.XLOOKUP(A31,Status!A:A,Status!B:B)</f>
        <v>DELIVERED</v>
      </c>
      <c r="K31" s="1">
        <f>_xlfn.XLOOKUP(A31,Status!A:A,Status!C:C)</f>
        <v>41397</v>
      </c>
      <c r="L31" s="1">
        <f>_xlfn.XLOOKUP(A31,Status!A:A,Status!D:D)</f>
        <v>41593</v>
      </c>
      <c r="M31" t="str">
        <f t="shared" si="0"/>
        <v>Heavy</v>
      </c>
      <c r="N31">
        <f t="shared" si="1"/>
        <v>196</v>
      </c>
      <c r="O31" s="4">
        <f t="shared" si="2"/>
        <v>0.49646393210749645</v>
      </c>
    </row>
    <row r="32" spans="1:15" x14ac:dyDescent="0.25">
      <c r="A32">
        <v>945</v>
      </c>
      <c r="B32">
        <v>3633</v>
      </c>
      <c r="C32" t="s">
        <v>1191</v>
      </c>
      <c r="D32" t="s">
        <v>1192</v>
      </c>
      <c r="E32" t="s">
        <v>1197</v>
      </c>
      <c r="F32">
        <v>299</v>
      </c>
      <c r="G32">
        <v>524</v>
      </c>
      <c r="H32" t="s">
        <v>1256</v>
      </c>
      <c r="I32" t="s">
        <v>1257</v>
      </c>
      <c r="J32" t="str">
        <f>_xlfn.XLOOKUP(A32,Status!A:A,Status!B:B)</f>
        <v>DELIVERED</v>
      </c>
      <c r="K32" s="1">
        <f>_xlfn.XLOOKUP(A32,Status!A:A,Status!C:C)</f>
        <v>37010</v>
      </c>
      <c r="L32" s="1">
        <f>_xlfn.XLOOKUP(A32,Status!A:A,Status!D:D)</f>
        <v>37113</v>
      </c>
      <c r="M32" t="str">
        <f t="shared" si="0"/>
        <v>Light</v>
      </c>
      <c r="N32">
        <f t="shared" si="1"/>
        <v>103</v>
      </c>
      <c r="O32" s="4">
        <f t="shared" si="2"/>
        <v>0.57061068702290074</v>
      </c>
    </row>
    <row r="33" spans="1:15" x14ac:dyDescent="0.25">
      <c r="A33">
        <v>719</v>
      </c>
      <c r="B33">
        <v>7828</v>
      </c>
      <c r="C33" t="s">
        <v>1243</v>
      </c>
      <c r="D33" t="s">
        <v>1192</v>
      </c>
      <c r="E33" t="s">
        <v>1193</v>
      </c>
      <c r="F33">
        <v>930</v>
      </c>
      <c r="G33">
        <v>1183</v>
      </c>
      <c r="H33" t="s">
        <v>1258</v>
      </c>
      <c r="I33" t="s">
        <v>1259</v>
      </c>
      <c r="J33" t="str">
        <f>_xlfn.XLOOKUP(A33,Status!A:A,Status!B:B)</f>
        <v>DELIVERED</v>
      </c>
      <c r="K33" s="1">
        <f>_xlfn.XLOOKUP(A33,Status!A:A,Status!C:C)</f>
        <v>38739</v>
      </c>
      <c r="L33" s="1">
        <f>_xlfn.XLOOKUP(A33,Status!A:A,Status!D:D)</f>
        <v>38915</v>
      </c>
      <c r="M33" t="str">
        <f t="shared" si="0"/>
        <v>Heavy</v>
      </c>
      <c r="N33">
        <f t="shared" si="1"/>
        <v>176</v>
      </c>
      <c r="O33" s="4">
        <f t="shared" si="2"/>
        <v>0.78613693998309386</v>
      </c>
    </row>
    <row r="34" spans="1:15" x14ac:dyDescent="0.25">
      <c r="A34">
        <v>493</v>
      </c>
      <c r="B34">
        <v>2241</v>
      </c>
      <c r="C34" t="s">
        <v>1203</v>
      </c>
      <c r="D34" t="s">
        <v>1192</v>
      </c>
      <c r="E34" t="s">
        <v>1193</v>
      </c>
      <c r="F34">
        <v>314</v>
      </c>
      <c r="G34">
        <v>566</v>
      </c>
      <c r="H34" t="s">
        <v>1260</v>
      </c>
      <c r="I34" t="s">
        <v>1261</v>
      </c>
      <c r="J34" t="str">
        <f>_xlfn.XLOOKUP(A34,Status!A:A,Status!B:B)</f>
        <v>NOT DELIVERED</v>
      </c>
      <c r="K34" s="1">
        <f>_xlfn.XLOOKUP(A34,Status!A:A,Status!C:C)</f>
        <v>34931</v>
      </c>
      <c r="L34" s="1">
        <f>_xlfn.XLOOKUP(A34,Status!A:A,Status!D:D)</f>
        <v>0</v>
      </c>
      <c r="M34" t="str">
        <f t="shared" ref="M34:M65" si="3">IF(F34&gt;500,"Heavy","Light")</f>
        <v>Light</v>
      </c>
      <c r="N34" t="str">
        <f t="shared" ref="N34:N65" si="4">IF(OR(L34=0,K34=0),"",ABS(L34-K34))</f>
        <v/>
      </c>
      <c r="O34" s="4">
        <f t="shared" ref="O34:O65" si="5">F34/G34</f>
        <v>0.55477031802120136</v>
      </c>
    </row>
    <row r="35" spans="1:15" x14ac:dyDescent="0.25">
      <c r="A35">
        <v>998</v>
      </c>
      <c r="B35">
        <v>896</v>
      </c>
      <c r="C35" t="s">
        <v>1217</v>
      </c>
      <c r="D35" t="s">
        <v>1196</v>
      </c>
      <c r="E35" t="s">
        <v>1197</v>
      </c>
      <c r="F35">
        <v>109</v>
      </c>
      <c r="G35">
        <v>961</v>
      </c>
      <c r="H35" t="s">
        <v>1262</v>
      </c>
      <c r="I35" t="s">
        <v>1263</v>
      </c>
      <c r="J35" t="str">
        <f>_xlfn.XLOOKUP(A35,Status!A:A,Status!B:B)</f>
        <v>DELIVERED</v>
      </c>
      <c r="K35" s="1">
        <f>_xlfn.XLOOKUP(A35,Status!A:A,Status!C:C)</f>
        <v>41599</v>
      </c>
      <c r="L35" s="1">
        <f>_xlfn.XLOOKUP(A35,Status!A:A,Status!D:D)</f>
        <v>41593</v>
      </c>
      <c r="M35" t="str">
        <f t="shared" si="3"/>
        <v>Light</v>
      </c>
      <c r="N35">
        <f t="shared" si="4"/>
        <v>6</v>
      </c>
      <c r="O35" s="4">
        <f t="shared" si="5"/>
        <v>0.11342351716961499</v>
      </c>
    </row>
    <row r="36" spans="1:15" x14ac:dyDescent="0.25">
      <c r="A36">
        <v>968</v>
      </c>
      <c r="B36">
        <v>6361</v>
      </c>
      <c r="C36" t="s">
        <v>1209</v>
      </c>
      <c r="D36" t="s">
        <v>1192</v>
      </c>
      <c r="E36" t="s">
        <v>1193</v>
      </c>
      <c r="F36">
        <v>24</v>
      </c>
      <c r="G36">
        <v>54</v>
      </c>
      <c r="H36" t="s">
        <v>1264</v>
      </c>
      <c r="I36" t="s">
        <v>398</v>
      </c>
      <c r="J36" t="str">
        <f>_xlfn.XLOOKUP(A36,Status!A:A,Status!B:B)</f>
        <v>DELIVERED</v>
      </c>
      <c r="K36" s="1">
        <f>_xlfn.XLOOKUP(A36,Status!A:A,Status!C:C)</f>
        <v>33973</v>
      </c>
      <c r="L36" s="1">
        <f>_xlfn.XLOOKUP(A36,Status!A:A,Status!D:D)</f>
        <v>34183</v>
      </c>
      <c r="M36" t="str">
        <f t="shared" si="3"/>
        <v>Light</v>
      </c>
      <c r="N36">
        <f t="shared" si="4"/>
        <v>210</v>
      </c>
      <c r="O36" s="4">
        <f t="shared" si="5"/>
        <v>0.44444444444444442</v>
      </c>
    </row>
    <row r="37" spans="1:15" x14ac:dyDescent="0.25">
      <c r="A37">
        <v>738</v>
      </c>
      <c r="B37">
        <v>6713</v>
      </c>
      <c r="C37" t="s">
        <v>1206</v>
      </c>
      <c r="D37" t="s">
        <v>1192</v>
      </c>
      <c r="E37" t="s">
        <v>1197</v>
      </c>
      <c r="F37">
        <v>545</v>
      </c>
      <c r="G37">
        <v>1044</v>
      </c>
      <c r="H37" t="s">
        <v>1265</v>
      </c>
      <c r="I37" t="s">
        <v>1266</v>
      </c>
      <c r="J37" t="str">
        <f>_xlfn.XLOOKUP(A37,Status!A:A,Status!B:B)</f>
        <v>NOT DELIVERED</v>
      </c>
      <c r="K37" s="1">
        <f>_xlfn.XLOOKUP(A37,Status!A:A,Status!C:C)</f>
        <v>28387</v>
      </c>
      <c r="L37" s="1">
        <f>_xlfn.XLOOKUP(A37,Status!A:A,Status!D:D)</f>
        <v>0</v>
      </c>
      <c r="M37" t="str">
        <f t="shared" si="3"/>
        <v>Heavy</v>
      </c>
      <c r="N37" t="str">
        <f t="shared" si="4"/>
        <v/>
      </c>
      <c r="O37" s="4">
        <f t="shared" si="5"/>
        <v>0.52203065134099613</v>
      </c>
    </row>
    <row r="38" spans="1:15" x14ac:dyDescent="0.25">
      <c r="A38">
        <v>912</v>
      </c>
      <c r="B38">
        <v>4283</v>
      </c>
      <c r="C38" t="s">
        <v>1212</v>
      </c>
      <c r="D38" t="s">
        <v>1196</v>
      </c>
      <c r="E38" t="s">
        <v>1193</v>
      </c>
      <c r="F38">
        <v>505</v>
      </c>
      <c r="G38">
        <v>1082</v>
      </c>
      <c r="H38" t="s">
        <v>1267</v>
      </c>
      <c r="I38" t="s">
        <v>1268</v>
      </c>
      <c r="J38" t="str">
        <f>_xlfn.XLOOKUP(A38,Status!A:A,Status!B:B)</f>
        <v>NOT DELIVERED</v>
      </c>
      <c r="K38" s="1">
        <f>_xlfn.XLOOKUP(A38,Status!A:A,Status!C:C)</f>
        <v>43829</v>
      </c>
      <c r="L38" s="1">
        <f>_xlfn.XLOOKUP(A38,Status!A:A,Status!D:D)</f>
        <v>0</v>
      </c>
      <c r="M38" t="str">
        <f t="shared" si="3"/>
        <v>Heavy</v>
      </c>
      <c r="N38" t="str">
        <f t="shared" si="4"/>
        <v/>
      </c>
      <c r="O38" s="4">
        <f t="shared" si="5"/>
        <v>0.46672828096118302</v>
      </c>
    </row>
    <row r="39" spans="1:15" x14ac:dyDescent="0.25">
      <c r="A39">
        <v>782</v>
      </c>
      <c r="B39">
        <v>9486</v>
      </c>
      <c r="C39" t="s">
        <v>1206</v>
      </c>
      <c r="D39" t="s">
        <v>1196</v>
      </c>
      <c r="E39" t="s">
        <v>1193</v>
      </c>
      <c r="F39">
        <v>182</v>
      </c>
      <c r="G39">
        <v>871</v>
      </c>
      <c r="H39" t="s">
        <v>1269</v>
      </c>
      <c r="I39" t="s">
        <v>1270</v>
      </c>
      <c r="J39" t="str">
        <f>_xlfn.XLOOKUP(A39,Status!A:A,Status!B:B)</f>
        <v>DELIVERED</v>
      </c>
      <c r="K39" s="1">
        <f>_xlfn.XLOOKUP(A39,Status!A:A,Status!C:C)</f>
        <v>37499</v>
      </c>
      <c r="L39" s="1">
        <f>_xlfn.XLOOKUP(A39,Status!A:A,Status!D:D)</f>
        <v>37549</v>
      </c>
      <c r="M39" t="str">
        <f t="shared" si="3"/>
        <v>Light</v>
      </c>
      <c r="N39">
        <f t="shared" si="4"/>
        <v>50</v>
      </c>
      <c r="O39" s="4">
        <f t="shared" si="5"/>
        <v>0.20895522388059701</v>
      </c>
    </row>
    <row r="40" spans="1:15" x14ac:dyDescent="0.25">
      <c r="A40">
        <v>140</v>
      </c>
      <c r="B40">
        <v>308</v>
      </c>
      <c r="C40" t="s">
        <v>1200</v>
      </c>
      <c r="D40" t="s">
        <v>1196</v>
      </c>
      <c r="E40" t="s">
        <v>1193</v>
      </c>
      <c r="F40">
        <v>226</v>
      </c>
      <c r="G40">
        <v>970</v>
      </c>
      <c r="H40" t="s">
        <v>1271</v>
      </c>
      <c r="I40" t="s">
        <v>1272</v>
      </c>
      <c r="J40" t="str">
        <f>_xlfn.XLOOKUP(A40,Status!A:A,Status!B:B)</f>
        <v>DELIVERED</v>
      </c>
      <c r="K40" s="1">
        <f>_xlfn.XLOOKUP(A40,Status!A:A,Status!C:C)</f>
        <v>38878</v>
      </c>
      <c r="L40" s="1">
        <f>_xlfn.XLOOKUP(A40,Status!A:A,Status!D:D)</f>
        <v>38915</v>
      </c>
      <c r="M40" t="str">
        <f t="shared" si="3"/>
        <v>Light</v>
      </c>
      <c r="N40">
        <f t="shared" si="4"/>
        <v>37</v>
      </c>
      <c r="O40" s="4">
        <f t="shared" si="5"/>
        <v>0.23298969072164949</v>
      </c>
    </row>
    <row r="41" spans="1:15" x14ac:dyDescent="0.25">
      <c r="A41">
        <v>702</v>
      </c>
      <c r="B41">
        <v>8927</v>
      </c>
      <c r="C41" t="s">
        <v>1203</v>
      </c>
      <c r="D41" t="s">
        <v>1196</v>
      </c>
      <c r="E41" t="s">
        <v>1193</v>
      </c>
      <c r="F41">
        <v>111</v>
      </c>
      <c r="G41">
        <v>617</v>
      </c>
      <c r="H41" t="s">
        <v>1273</v>
      </c>
      <c r="I41" t="s">
        <v>1274</v>
      </c>
      <c r="J41" t="str">
        <f>_xlfn.XLOOKUP(A41,Status!A:A,Status!B:B)</f>
        <v>DELIVERED</v>
      </c>
      <c r="K41" s="1">
        <f>_xlfn.XLOOKUP(A41,Status!A:A,Status!C:C)</f>
        <v>38175</v>
      </c>
      <c r="L41" s="1">
        <f>_xlfn.XLOOKUP(A41,Status!A:A,Status!D:D)</f>
        <v>38311</v>
      </c>
      <c r="M41" t="str">
        <f t="shared" si="3"/>
        <v>Light</v>
      </c>
      <c r="N41">
        <f t="shared" si="4"/>
        <v>136</v>
      </c>
      <c r="O41" s="4">
        <f t="shared" si="5"/>
        <v>0.17990275526742303</v>
      </c>
    </row>
    <row r="42" spans="1:15" x14ac:dyDescent="0.25">
      <c r="A42">
        <v>284</v>
      </c>
      <c r="B42">
        <v>249</v>
      </c>
      <c r="C42" t="s">
        <v>1217</v>
      </c>
      <c r="D42" t="s">
        <v>1196</v>
      </c>
      <c r="E42" t="s">
        <v>1197</v>
      </c>
      <c r="F42">
        <v>145</v>
      </c>
      <c r="G42">
        <v>814</v>
      </c>
      <c r="H42" t="s">
        <v>1275</v>
      </c>
      <c r="I42" t="s">
        <v>21</v>
      </c>
      <c r="J42" t="str">
        <f>_xlfn.XLOOKUP(A42,Status!A:A,Status!B:B)</f>
        <v>DELIVERED</v>
      </c>
      <c r="K42" s="1">
        <f>_xlfn.XLOOKUP(A42,Status!A:A,Status!C:C)</f>
        <v>29988</v>
      </c>
      <c r="L42" s="1">
        <f>_xlfn.XLOOKUP(A42,Status!A:A,Status!D:D)</f>
        <v>30018</v>
      </c>
      <c r="M42" t="str">
        <f t="shared" si="3"/>
        <v>Light</v>
      </c>
      <c r="N42">
        <f t="shared" si="4"/>
        <v>30</v>
      </c>
      <c r="O42" s="4">
        <f t="shared" si="5"/>
        <v>0.17813267813267813</v>
      </c>
    </row>
    <row r="43" spans="1:15" x14ac:dyDescent="0.25">
      <c r="A43">
        <v>199</v>
      </c>
      <c r="B43">
        <v>2620</v>
      </c>
      <c r="C43" t="s">
        <v>1206</v>
      </c>
      <c r="D43" t="s">
        <v>1192</v>
      </c>
      <c r="E43" t="s">
        <v>1193</v>
      </c>
      <c r="F43">
        <v>829</v>
      </c>
      <c r="G43">
        <v>1145</v>
      </c>
      <c r="H43" t="s">
        <v>1276</v>
      </c>
      <c r="I43" t="s">
        <v>1277</v>
      </c>
      <c r="J43" t="str">
        <f>_xlfn.XLOOKUP(A43,Status!A:A,Status!B:B)</f>
        <v>NOT DELIVERED</v>
      </c>
      <c r="K43" s="1">
        <f>_xlfn.XLOOKUP(A43,Status!A:A,Status!C:C)</f>
        <v>39290</v>
      </c>
      <c r="L43" s="1">
        <f>_xlfn.XLOOKUP(A43,Status!A:A,Status!D:D)</f>
        <v>0</v>
      </c>
      <c r="M43" t="str">
        <f t="shared" si="3"/>
        <v>Heavy</v>
      </c>
      <c r="N43" t="str">
        <f t="shared" si="4"/>
        <v/>
      </c>
      <c r="O43" s="4">
        <f t="shared" si="5"/>
        <v>0.72401746724890825</v>
      </c>
    </row>
    <row r="44" spans="1:15" x14ac:dyDescent="0.25">
      <c r="A44">
        <v>228</v>
      </c>
      <c r="B44">
        <v>1164</v>
      </c>
      <c r="C44" t="s">
        <v>1206</v>
      </c>
      <c r="D44" t="s">
        <v>1192</v>
      </c>
      <c r="E44" t="s">
        <v>1193</v>
      </c>
      <c r="F44">
        <v>269</v>
      </c>
      <c r="G44">
        <v>902</v>
      </c>
      <c r="H44" t="s">
        <v>21</v>
      </c>
      <c r="I44" t="s">
        <v>1278</v>
      </c>
      <c r="J44" t="str">
        <f>_xlfn.XLOOKUP(A44,Status!A:A,Status!B:B)</f>
        <v>DELIVERED</v>
      </c>
      <c r="K44" s="1">
        <f>_xlfn.XLOOKUP(A44,Status!A:A,Status!C:C)</f>
        <v>34423</v>
      </c>
      <c r="L44" s="1">
        <f>_xlfn.XLOOKUP(A44,Status!A:A,Status!D:D)</f>
        <v>34433</v>
      </c>
      <c r="M44" t="str">
        <f t="shared" si="3"/>
        <v>Light</v>
      </c>
      <c r="N44">
        <f t="shared" si="4"/>
        <v>10</v>
      </c>
      <c r="O44" s="4">
        <f t="shared" si="5"/>
        <v>0.29822616407982261</v>
      </c>
    </row>
    <row r="45" spans="1:15" x14ac:dyDescent="0.25">
      <c r="A45">
        <v>908</v>
      </c>
      <c r="B45">
        <v>4711</v>
      </c>
      <c r="C45" t="s">
        <v>1217</v>
      </c>
      <c r="D45" t="s">
        <v>1196</v>
      </c>
      <c r="E45" t="s">
        <v>1193</v>
      </c>
      <c r="F45">
        <v>660</v>
      </c>
      <c r="G45">
        <v>1470</v>
      </c>
      <c r="H45" t="s">
        <v>1279</v>
      </c>
      <c r="I45" t="s">
        <v>1280</v>
      </c>
      <c r="J45" t="str">
        <f>_xlfn.XLOOKUP(A45,Status!A:A,Status!B:B)</f>
        <v>NOT DELIVERED</v>
      </c>
      <c r="K45" s="1">
        <f>_xlfn.XLOOKUP(A45,Status!A:A,Status!C:C)</f>
        <v>36188</v>
      </c>
      <c r="L45" s="1">
        <f>_xlfn.XLOOKUP(A45,Status!A:A,Status!D:D)</f>
        <v>0</v>
      </c>
      <c r="M45" t="str">
        <f t="shared" si="3"/>
        <v>Heavy</v>
      </c>
      <c r="N45" t="str">
        <f t="shared" si="4"/>
        <v/>
      </c>
      <c r="O45" s="4">
        <f t="shared" si="5"/>
        <v>0.44897959183673469</v>
      </c>
    </row>
    <row r="46" spans="1:15" x14ac:dyDescent="0.25">
      <c r="A46">
        <v>594</v>
      </c>
      <c r="B46">
        <v>4053</v>
      </c>
      <c r="C46" t="s">
        <v>1203</v>
      </c>
      <c r="D46" t="s">
        <v>1192</v>
      </c>
      <c r="E46" t="s">
        <v>1193</v>
      </c>
      <c r="F46">
        <v>484</v>
      </c>
      <c r="G46">
        <v>568</v>
      </c>
      <c r="H46" t="s">
        <v>655</v>
      </c>
      <c r="I46" t="s">
        <v>1281</v>
      </c>
      <c r="J46" t="str">
        <f>_xlfn.XLOOKUP(A46,Status!A:A,Status!B:B)</f>
        <v>NOT DELIVERED</v>
      </c>
      <c r="K46" s="1">
        <f>_xlfn.XLOOKUP(A46,Status!A:A,Status!C:C)</f>
        <v>38066</v>
      </c>
      <c r="L46" s="1">
        <f>_xlfn.XLOOKUP(A46,Status!A:A,Status!D:D)</f>
        <v>0</v>
      </c>
      <c r="M46" t="str">
        <f t="shared" si="3"/>
        <v>Light</v>
      </c>
      <c r="N46" t="str">
        <f t="shared" si="4"/>
        <v/>
      </c>
      <c r="O46" s="4">
        <f t="shared" si="5"/>
        <v>0.852112676056338</v>
      </c>
    </row>
    <row r="47" spans="1:15" x14ac:dyDescent="0.25">
      <c r="A47">
        <v>542</v>
      </c>
      <c r="B47">
        <v>4272</v>
      </c>
      <c r="C47" t="s">
        <v>1209</v>
      </c>
      <c r="D47" t="s">
        <v>1196</v>
      </c>
      <c r="E47" t="s">
        <v>1193</v>
      </c>
      <c r="F47">
        <v>100</v>
      </c>
      <c r="G47">
        <v>487</v>
      </c>
      <c r="H47" t="s">
        <v>520</v>
      </c>
      <c r="I47" t="s">
        <v>1282</v>
      </c>
      <c r="J47" t="str">
        <f>_xlfn.XLOOKUP(A47,Status!A:A,Status!B:B)</f>
        <v>NOT DELIVERED</v>
      </c>
      <c r="K47" s="1">
        <f>_xlfn.XLOOKUP(A47,Status!A:A,Status!C:C)</f>
        <v>31551</v>
      </c>
      <c r="L47" s="1">
        <f>_xlfn.XLOOKUP(A47,Status!A:A,Status!D:D)</f>
        <v>0</v>
      </c>
      <c r="M47" t="str">
        <f t="shared" si="3"/>
        <v>Light</v>
      </c>
      <c r="N47" t="str">
        <f t="shared" si="4"/>
        <v/>
      </c>
      <c r="O47" s="4">
        <f t="shared" si="5"/>
        <v>0.20533880903490759</v>
      </c>
    </row>
    <row r="48" spans="1:15" x14ac:dyDescent="0.25">
      <c r="A48">
        <v>586</v>
      </c>
      <c r="B48">
        <v>7005</v>
      </c>
      <c r="C48" t="s">
        <v>1232</v>
      </c>
      <c r="D48" t="s">
        <v>1192</v>
      </c>
      <c r="E48" t="s">
        <v>1197</v>
      </c>
      <c r="F48">
        <v>711</v>
      </c>
      <c r="G48">
        <v>1197</v>
      </c>
      <c r="H48" t="s">
        <v>1283</v>
      </c>
      <c r="I48" t="s">
        <v>1284</v>
      </c>
      <c r="J48" t="str">
        <f>_xlfn.XLOOKUP(A48,Status!A:A,Status!B:B)</f>
        <v>NOT DELIVERED</v>
      </c>
      <c r="K48" s="1">
        <f>_xlfn.XLOOKUP(A48,Status!A:A,Status!C:C)</f>
        <v>28192</v>
      </c>
      <c r="L48" s="1">
        <f>_xlfn.XLOOKUP(A48,Status!A:A,Status!D:D)</f>
        <v>0</v>
      </c>
      <c r="M48" t="str">
        <f t="shared" si="3"/>
        <v>Heavy</v>
      </c>
      <c r="N48" t="str">
        <f t="shared" si="4"/>
        <v/>
      </c>
      <c r="O48" s="4">
        <f t="shared" si="5"/>
        <v>0.59398496240601506</v>
      </c>
    </row>
    <row r="49" spans="1:15" x14ac:dyDescent="0.25">
      <c r="A49">
        <v>636</v>
      </c>
      <c r="B49">
        <v>2308</v>
      </c>
      <c r="C49" t="s">
        <v>1203</v>
      </c>
      <c r="D49" t="s">
        <v>1196</v>
      </c>
      <c r="E49" t="s">
        <v>1193</v>
      </c>
      <c r="F49">
        <v>325</v>
      </c>
      <c r="G49">
        <v>994</v>
      </c>
      <c r="H49" t="s">
        <v>1285</v>
      </c>
      <c r="I49" t="s">
        <v>1286</v>
      </c>
      <c r="J49" t="str">
        <f>_xlfn.XLOOKUP(A49,Status!A:A,Status!B:B)</f>
        <v>DELIVERED</v>
      </c>
      <c r="K49" s="1">
        <f>_xlfn.XLOOKUP(A49,Status!A:A,Status!C:C)</f>
        <v>39502</v>
      </c>
      <c r="L49" s="1">
        <f>_xlfn.XLOOKUP(A49,Status!A:A,Status!D:D)</f>
        <v>39669</v>
      </c>
      <c r="M49" t="str">
        <f t="shared" si="3"/>
        <v>Light</v>
      </c>
      <c r="N49">
        <f t="shared" si="4"/>
        <v>167</v>
      </c>
      <c r="O49" s="4">
        <f t="shared" si="5"/>
        <v>0.32696177062374243</v>
      </c>
    </row>
    <row r="50" spans="1:15" x14ac:dyDescent="0.25">
      <c r="A50">
        <v>581</v>
      </c>
      <c r="B50">
        <v>5150</v>
      </c>
      <c r="C50" t="s">
        <v>1220</v>
      </c>
      <c r="D50" t="s">
        <v>1192</v>
      </c>
      <c r="E50" t="s">
        <v>1193</v>
      </c>
      <c r="F50">
        <v>209</v>
      </c>
      <c r="G50">
        <v>933</v>
      </c>
      <c r="H50" t="s">
        <v>1287</v>
      </c>
      <c r="I50" t="s">
        <v>1288</v>
      </c>
      <c r="J50" t="str">
        <f>_xlfn.XLOOKUP(A50,Status!A:A,Status!B:B)</f>
        <v>NOT DELIVERED</v>
      </c>
      <c r="K50" s="1">
        <f>_xlfn.XLOOKUP(A50,Status!A:A,Status!C:C)</f>
        <v>43063</v>
      </c>
      <c r="L50" s="1">
        <f>_xlfn.XLOOKUP(A50,Status!A:A,Status!D:D)</f>
        <v>0</v>
      </c>
      <c r="M50" t="str">
        <f t="shared" si="3"/>
        <v>Light</v>
      </c>
      <c r="N50" t="str">
        <f t="shared" si="4"/>
        <v/>
      </c>
      <c r="O50" s="4">
        <f t="shared" si="5"/>
        <v>0.22400857449088959</v>
      </c>
    </row>
    <row r="51" spans="1:15" x14ac:dyDescent="0.25">
      <c r="A51">
        <v>336</v>
      </c>
      <c r="B51">
        <v>693</v>
      </c>
      <c r="C51" t="s">
        <v>1232</v>
      </c>
      <c r="D51" t="s">
        <v>1196</v>
      </c>
      <c r="E51" t="s">
        <v>1197</v>
      </c>
      <c r="F51">
        <v>996</v>
      </c>
      <c r="G51">
        <v>1168</v>
      </c>
      <c r="H51" t="s">
        <v>21</v>
      </c>
      <c r="I51" t="s">
        <v>1289</v>
      </c>
      <c r="J51" t="str">
        <f>_xlfn.XLOOKUP(A51,Status!A:A,Status!B:B)</f>
        <v>NOT DELIVERED</v>
      </c>
      <c r="K51" s="1">
        <f>_xlfn.XLOOKUP(A51,Status!A:A,Status!C:C)</f>
        <v>26581</v>
      </c>
      <c r="L51" s="1">
        <f>_xlfn.XLOOKUP(A51,Status!A:A,Status!D:D)</f>
        <v>0</v>
      </c>
      <c r="M51" t="str">
        <f t="shared" si="3"/>
        <v>Heavy</v>
      </c>
      <c r="N51" t="str">
        <f t="shared" si="4"/>
        <v/>
      </c>
      <c r="O51" s="4">
        <f t="shared" si="5"/>
        <v>0.85273972602739723</v>
      </c>
    </row>
    <row r="52" spans="1:15" x14ac:dyDescent="0.25">
      <c r="A52">
        <v>504</v>
      </c>
      <c r="B52">
        <v>9598</v>
      </c>
      <c r="C52" t="s">
        <v>1200</v>
      </c>
      <c r="D52" t="s">
        <v>1196</v>
      </c>
      <c r="E52" t="s">
        <v>1193</v>
      </c>
      <c r="F52">
        <v>420</v>
      </c>
      <c r="G52">
        <v>561</v>
      </c>
      <c r="H52" t="s">
        <v>1290</v>
      </c>
      <c r="I52" t="s">
        <v>1291</v>
      </c>
      <c r="J52" t="str">
        <f>_xlfn.XLOOKUP(A52,Status!A:A,Status!B:B)</f>
        <v>DELIVERED</v>
      </c>
      <c r="K52" s="1">
        <f>_xlfn.XLOOKUP(A52,Status!A:A,Status!C:C)</f>
        <v>30143</v>
      </c>
      <c r="L52" s="1">
        <f>_xlfn.XLOOKUP(A52,Status!A:A,Status!D:D)</f>
        <v>30239</v>
      </c>
      <c r="M52" t="str">
        <f t="shared" si="3"/>
        <v>Light</v>
      </c>
      <c r="N52">
        <f t="shared" si="4"/>
        <v>96</v>
      </c>
      <c r="O52" s="4">
        <f t="shared" si="5"/>
        <v>0.74866310160427807</v>
      </c>
    </row>
    <row r="53" spans="1:15" x14ac:dyDescent="0.25">
      <c r="A53">
        <v>346</v>
      </c>
      <c r="B53">
        <v>8103</v>
      </c>
      <c r="C53" t="s">
        <v>1215</v>
      </c>
      <c r="D53" t="s">
        <v>1196</v>
      </c>
      <c r="E53" t="s">
        <v>1197</v>
      </c>
      <c r="F53">
        <v>182</v>
      </c>
      <c r="G53">
        <v>850</v>
      </c>
      <c r="H53" t="s">
        <v>1292</v>
      </c>
      <c r="I53" t="s">
        <v>1293</v>
      </c>
      <c r="J53" t="str">
        <f>_xlfn.XLOOKUP(A53,Status!A:A,Status!B:B)</f>
        <v>DELIVERED</v>
      </c>
      <c r="K53" s="1">
        <f>_xlfn.XLOOKUP(A53,Status!A:A,Status!C:C)</f>
        <v>39238</v>
      </c>
      <c r="L53" s="1">
        <f>_xlfn.XLOOKUP(A53,Status!A:A,Status!D:D)</f>
        <v>39275</v>
      </c>
      <c r="M53" t="str">
        <f t="shared" si="3"/>
        <v>Light</v>
      </c>
      <c r="N53">
        <f t="shared" si="4"/>
        <v>37</v>
      </c>
      <c r="O53" s="4">
        <f t="shared" si="5"/>
        <v>0.21411764705882352</v>
      </c>
    </row>
    <row r="54" spans="1:15" x14ac:dyDescent="0.25">
      <c r="A54">
        <v>135</v>
      </c>
      <c r="B54">
        <v>8894</v>
      </c>
      <c r="C54" t="s">
        <v>1232</v>
      </c>
      <c r="D54" t="s">
        <v>1192</v>
      </c>
      <c r="E54" t="s">
        <v>1197</v>
      </c>
      <c r="F54">
        <v>901</v>
      </c>
      <c r="G54">
        <v>1393</v>
      </c>
      <c r="H54" t="s">
        <v>1294</v>
      </c>
      <c r="I54" t="s">
        <v>1295</v>
      </c>
      <c r="J54" t="str">
        <f>_xlfn.XLOOKUP(A54,Status!A:A,Status!B:B)</f>
        <v>NOT DELIVERED</v>
      </c>
      <c r="K54" s="1">
        <f>_xlfn.XLOOKUP(A54,Status!A:A,Status!C:C)</f>
        <v>38240</v>
      </c>
      <c r="L54" s="1">
        <f>_xlfn.XLOOKUP(A54,Status!A:A,Status!D:D)</f>
        <v>0</v>
      </c>
      <c r="M54" t="str">
        <f t="shared" si="3"/>
        <v>Heavy</v>
      </c>
      <c r="N54" t="str">
        <f t="shared" si="4"/>
        <v/>
      </c>
      <c r="O54" s="4">
        <f t="shared" si="5"/>
        <v>0.64680545585068194</v>
      </c>
    </row>
    <row r="55" spans="1:15" x14ac:dyDescent="0.25">
      <c r="A55">
        <v>822</v>
      </c>
      <c r="B55">
        <v>114</v>
      </c>
      <c r="C55" t="s">
        <v>1232</v>
      </c>
      <c r="D55" t="s">
        <v>1196</v>
      </c>
      <c r="E55" t="s">
        <v>1193</v>
      </c>
      <c r="F55">
        <v>88</v>
      </c>
      <c r="G55">
        <v>426</v>
      </c>
      <c r="H55" t="s">
        <v>1296</v>
      </c>
      <c r="I55" t="s">
        <v>1297</v>
      </c>
      <c r="J55" t="str">
        <f>_xlfn.XLOOKUP(A55,Status!A:A,Status!B:B)</f>
        <v>DELIVERED</v>
      </c>
      <c r="K55" s="1">
        <f>_xlfn.XLOOKUP(A55,Status!A:A,Status!C:C)</f>
        <v>33419</v>
      </c>
      <c r="L55" s="1">
        <f>_xlfn.XLOOKUP(A55,Status!A:A,Status!D:D)</f>
        <v>33434</v>
      </c>
      <c r="M55" t="str">
        <f t="shared" si="3"/>
        <v>Light</v>
      </c>
      <c r="N55">
        <f t="shared" si="4"/>
        <v>15</v>
      </c>
      <c r="O55" s="4">
        <f t="shared" si="5"/>
        <v>0.20657276995305165</v>
      </c>
    </row>
    <row r="56" spans="1:15" x14ac:dyDescent="0.25">
      <c r="A56">
        <v>95</v>
      </c>
      <c r="B56">
        <v>6546</v>
      </c>
      <c r="C56" t="s">
        <v>1206</v>
      </c>
      <c r="D56" t="s">
        <v>1192</v>
      </c>
      <c r="E56" t="s">
        <v>1193</v>
      </c>
      <c r="F56">
        <v>660</v>
      </c>
      <c r="G56">
        <v>1208</v>
      </c>
      <c r="H56" t="s">
        <v>1298</v>
      </c>
      <c r="I56" t="s">
        <v>1299</v>
      </c>
      <c r="J56" t="str">
        <f>_xlfn.XLOOKUP(A56,Status!A:A,Status!B:B)</f>
        <v>NOT DELIVERED</v>
      </c>
      <c r="K56" s="1">
        <f>_xlfn.XLOOKUP(A56,Status!A:A,Status!C:C)</f>
        <v>41375</v>
      </c>
      <c r="L56" s="1">
        <f>_xlfn.XLOOKUP(A56,Status!A:A,Status!D:D)</f>
        <v>0</v>
      </c>
      <c r="M56" t="str">
        <f t="shared" si="3"/>
        <v>Heavy</v>
      </c>
      <c r="N56" t="str">
        <f t="shared" si="4"/>
        <v/>
      </c>
      <c r="O56" s="4">
        <f t="shared" si="5"/>
        <v>0.54635761589403975</v>
      </c>
    </row>
    <row r="57" spans="1:15" x14ac:dyDescent="0.25">
      <c r="A57">
        <v>597</v>
      </c>
      <c r="B57">
        <v>3571</v>
      </c>
      <c r="C57" t="s">
        <v>1200</v>
      </c>
      <c r="D57" t="s">
        <v>1192</v>
      </c>
      <c r="E57" t="s">
        <v>1193</v>
      </c>
      <c r="F57">
        <v>267</v>
      </c>
      <c r="G57">
        <v>925</v>
      </c>
      <c r="H57" t="s">
        <v>1300</v>
      </c>
      <c r="I57" t="s">
        <v>1301</v>
      </c>
      <c r="J57" t="str">
        <f>_xlfn.XLOOKUP(A57,Status!A:A,Status!B:B)</f>
        <v>NOT DELIVERED</v>
      </c>
      <c r="K57" s="1">
        <f>_xlfn.XLOOKUP(A57,Status!A:A,Status!C:C)</f>
        <v>40385</v>
      </c>
      <c r="L57" s="1">
        <f>_xlfn.XLOOKUP(A57,Status!A:A,Status!D:D)</f>
        <v>0</v>
      </c>
      <c r="M57" t="str">
        <f t="shared" si="3"/>
        <v>Light</v>
      </c>
      <c r="N57" t="str">
        <f t="shared" si="4"/>
        <v/>
      </c>
      <c r="O57" s="4">
        <f t="shared" si="5"/>
        <v>0.28864864864864864</v>
      </c>
    </row>
    <row r="58" spans="1:15" x14ac:dyDescent="0.25">
      <c r="A58">
        <v>340</v>
      </c>
      <c r="B58">
        <v>7316</v>
      </c>
      <c r="C58" t="s">
        <v>1212</v>
      </c>
      <c r="D58" t="s">
        <v>1196</v>
      </c>
      <c r="E58" t="s">
        <v>1197</v>
      </c>
      <c r="F58">
        <v>905</v>
      </c>
      <c r="G58">
        <v>1392</v>
      </c>
      <c r="H58" t="s">
        <v>1302</v>
      </c>
      <c r="I58" t="s">
        <v>1303</v>
      </c>
      <c r="J58" t="str">
        <f>_xlfn.XLOOKUP(A58,Status!A:A,Status!B:B)</f>
        <v>NOT DELIVERED</v>
      </c>
      <c r="K58" s="1">
        <f>_xlfn.XLOOKUP(A58,Status!A:A,Status!C:C)</f>
        <v>29893</v>
      </c>
      <c r="L58" s="1">
        <f>_xlfn.XLOOKUP(A58,Status!A:A,Status!D:D)</f>
        <v>0</v>
      </c>
      <c r="M58" t="str">
        <f t="shared" si="3"/>
        <v>Heavy</v>
      </c>
      <c r="N58" t="str">
        <f t="shared" si="4"/>
        <v/>
      </c>
      <c r="O58" s="4">
        <f t="shared" si="5"/>
        <v>0.65014367816091956</v>
      </c>
    </row>
    <row r="59" spans="1:15" x14ac:dyDescent="0.25">
      <c r="A59">
        <v>905</v>
      </c>
      <c r="B59">
        <v>2478</v>
      </c>
      <c r="C59" t="s">
        <v>1200</v>
      </c>
      <c r="D59" t="s">
        <v>1192</v>
      </c>
      <c r="E59" t="s">
        <v>1197</v>
      </c>
      <c r="F59">
        <v>799</v>
      </c>
      <c r="G59">
        <v>1425</v>
      </c>
      <c r="H59" t="s">
        <v>1304</v>
      </c>
      <c r="I59" t="s">
        <v>1305</v>
      </c>
      <c r="J59" t="str">
        <f>_xlfn.XLOOKUP(A59,Status!A:A,Status!B:B)</f>
        <v>DELIVERED</v>
      </c>
      <c r="K59" s="1">
        <f>_xlfn.XLOOKUP(A59,Status!A:A,Status!C:C)</f>
        <v>30417</v>
      </c>
      <c r="L59" s="1">
        <f>_xlfn.XLOOKUP(A59,Status!A:A,Status!D:D)</f>
        <v>30589</v>
      </c>
      <c r="M59" t="str">
        <f t="shared" si="3"/>
        <v>Heavy</v>
      </c>
      <c r="N59">
        <f t="shared" si="4"/>
        <v>172</v>
      </c>
      <c r="O59" s="4">
        <f t="shared" si="5"/>
        <v>0.56070175438596492</v>
      </c>
    </row>
    <row r="60" spans="1:15" x14ac:dyDescent="0.25">
      <c r="A60">
        <v>250</v>
      </c>
      <c r="B60">
        <v>1215</v>
      </c>
      <c r="C60" t="s">
        <v>1232</v>
      </c>
      <c r="D60" t="s">
        <v>1196</v>
      </c>
      <c r="E60" t="s">
        <v>1197</v>
      </c>
      <c r="F60">
        <v>773</v>
      </c>
      <c r="G60">
        <v>1225</v>
      </c>
      <c r="H60" t="s">
        <v>915</v>
      </c>
      <c r="I60" t="s">
        <v>748</v>
      </c>
      <c r="J60" t="str">
        <f>_xlfn.XLOOKUP(A60,Status!A:A,Status!B:B)</f>
        <v>DELIVERED</v>
      </c>
      <c r="K60" s="1">
        <f>_xlfn.XLOOKUP(A60,Status!A:A,Status!C:C)</f>
        <v>38978</v>
      </c>
      <c r="L60" s="1">
        <f>_xlfn.XLOOKUP(A60,Status!A:A,Status!D:D)</f>
        <v>39012</v>
      </c>
      <c r="M60" t="str">
        <f t="shared" si="3"/>
        <v>Heavy</v>
      </c>
      <c r="N60">
        <f t="shared" si="4"/>
        <v>34</v>
      </c>
      <c r="O60" s="4">
        <f t="shared" si="5"/>
        <v>0.63102040816326532</v>
      </c>
    </row>
    <row r="61" spans="1:15" x14ac:dyDescent="0.25">
      <c r="A61">
        <v>400</v>
      </c>
      <c r="B61">
        <v>5402</v>
      </c>
      <c r="C61" t="s">
        <v>1200</v>
      </c>
      <c r="D61" t="s">
        <v>1192</v>
      </c>
      <c r="E61" t="s">
        <v>1197</v>
      </c>
      <c r="F61">
        <v>78</v>
      </c>
      <c r="G61">
        <v>403</v>
      </c>
      <c r="H61" t="s">
        <v>1306</v>
      </c>
      <c r="I61" t="s">
        <v>1307</v>
      </c>
      <c r="J61" t="str">
        <f>_xlfn.XLOOKUP(A61,Status!A:A,Status!B:B)</f>
        <v>NOT DELIVERED</v>
      </c>
      <c r="K61" s="1">
        <f>_xlfn.XLOOKUP(A61,Status!A:A,Status!C:C)</f>
        <v>37628</v>
      </c>
      <c r="L61" s="1">
        <f>_xlfn.XLOOKUP(A61,Status!A:A,Status!D:D)</f>
        <v>0</v>
      </c>
      <c r="M61" t="str">
        <f t="shared" si="3"/>
        <v>Light</v>
      </c>
      <c r="N61" t="str">
        <f t="shared" si="4"/>
        <v/>
      </c>
      <c r="O61" s="4">
        <f t="shared" si="5"/>
        <v>0.19354838709677419</v>
      </c>
    </row>
    <row r="62" spans="1:15" x14ac:dyDescent="0.25">
      <c r="A62">
        <v>877</v>
      </c>
      <c r="B62">
        <v>1647</v>
      </c>
      <c r="C62" t="s">
        <v>1215</v>
      </c>
      <c r="D62" t="s">
        <v>1192</v>
      </c>
      <c r="E62" t="s">
        <v>1197</v>
      </c>
      <c r="F62">
        <v>791</v>
      </c>
      <c r="G62">
        <v>1169</v>
      </c>
      <c r="H62" t="s">
        <v>1308</v>
      </c>
      <c r="I62" t="s">
        <v>1309</v>
      </c>
      <c r="J62" t="str">
        <f>_xlfn.XLOOKUP(A62,Status!A:A,Status!B:B)</f>
        <v>DELIVERED</v>
      </c>
      <c r="K62" s="1">
        <f>_xlfn.XLOOKUP(A62,Status!A:A,Status!C:C)</f>
        <v>36550</v>
      </c>
      <c r="L62" s="1">
        <f>_xlfn.XLOOKUP(A62,Status!A:A,Status!D:D)</f>
        <v>36607</v>
      </c>
      <c r="M62" t="str">
        <f t="shared" si="3"/>
        <v>Heavy</v>
      </c>
      <c r="N62">
        <f t="shared" si="4"/>
        <v>57</v>
      </c>
      <c r="O62" s="4">
        <f t="shared" si="5"/>
        <v>0.67664670658682635</v>
      </c>
    </row>
    <row r="63" spans="1:15" x14ac:dyDescent="0.25">
      <c r="A63">
        <v>97</v>
      </c>
      <c r="B63">
        <v>9423</v>
      </c>
      <c r="C63" t="s">
        <v>1232</v>
      </c>
      <c r="D63" t="s">
        <v>1192</v>
      </c>
      <c r="E63" t="s">
        <v>1197</v>
      </c>
      <c r="F63">
        <v>603</v>
      </c>
      <c r="G63">
        <v>1167</v>
      </c>
      <c r="H63" t="s">
        <v>1310</v>
      </c>
      <c r="I63" t="s">
        <v>1216</v>
      </c>
      <c r="J63" t="str">
        <f>_xlfn.XLOOKUP(A63,Status!A:A,Status!B:B)</f>
        <v>NOT DELIVERED</v>
      </c>
      <c r="K63" s="1">
        <f>_xlfn.XLOOKUP(A63,Status!A:A,Status!C:C)</f>
        <v>40688</v>
      </c>
      <c r="L63" s="1">
        <f>_xlfn.XLOOKUP(A63,Status!A:A,Status!D:D)</f>
        <v>0</v>
      </c>
      <c r="M63" t="str">
        <f t="shared" si="3"/>
        <v>Heavy</v>
      </c>
      <c r="N63" t="str">
        <f t="shared" si="4"/>
        <v/>
      </c>
      <c r="O63" s="4">
        <f t="shared" si="5"/>
        <v>0.51670951156812339</v>
      </c>
    </row>
    <row r="64" spans="1:15" x14ac:dyDescent="0.25">
      <c r="A64">
        <v>12</v>
      </c>
      <c r="B64">
        <v>6404</v>
      </c>
      <c r="C64" t="s">
        <v>1232</v>
      </c>
      <c r="D64" t="s">
        <v>1192</v>
      </c>
      <c r="E64" t="s">
        <v>1193</v>
      </c>
      <c r="F64">
        <v>360</v>
      </c>
      <c r="G64">
        <v>565</v>
      </c>
      <c r="H64" t="s">
        <v>1311</v>
      </c>
      <c r="I64" t="s">
        <v>1312</v>
      </c>
      <c r="J64" t="str">
        <f>_xlfn.XLOOKUP(A64,Status!A:A,Status!B:B)</f>
        <v>NOT DELIVERED</v>
      </c>
      <c r="K64" s="1">
        <f>_xlfn.XLOOKUP(A64,Status!A:A,Status!C:C)</f>
        <v>36695</v>
      </c>
      <c r="L64" s="1">
        <f>_xlfn.XLOOKUP(A64,Status!A:A,Status!D:D)</f>
        <v>0</v>
      </c>
      <c r="M64" t="str">
        <f t="shared" si="3"/>
        <v>Light</v>
      </c>
      <c r="N64" t="str">
        <f t="shared" si="4"/>
        <v/>
      </c>
      <c r="O64" s="4">
        <f t="shared" si="5"/>
        <v>0.63716814159292035</v>
      </c>
    </row>
    <row r="65" spans="1:15" x14ac:dyDescent="0.25">
      <c r="A65">
        <v>353</v>
      </c>
      <c r="B65">
        <v>6767</v>
      </c>
      <c r="C65" t="s">
        <v>1212</v>
      </c>
      <c r="D65" t="s">
        <v>1192</v>
      </c>
      <c r="E65" t="s">
        <v>1197</v>
      </c>
      <c r="F65">
        <v>84</v>
      </c>
      <c r="G65">
        <v>354</v>
      </c>
      <c r="H65" t="s">
        <v>1313</v>
      </c>
      <c r="I65" t="s">
        <v>1314</v>
      </c>
      <c r="J65" t="str">
        <f>_xlfn.XLOOKUP(A65,Status!A:A,Status!B:B)</f>
        <v>DELIVERED</v>
      </c>
      <c r="K65" s="1">
        <f>_xlfn.XLOOKUP(A65,Status!A:A,Status!C:C)</f>
        <v>41123</v>
      </c>
      <c r="L65" s="1">
        <f>_xlfn.XLOOKUP(A65,Status!A:A,Status!D:D)</f>
        <v>41186</v>
      </c>
      <c r="M65" t="str">
        <f t="shared" si="3"/>
        <v>Light</v>
      </c>
      <c r="N65">
        <f t="shared" si="4"/>
        <v>63</v>
      </c>
      <c r="O65" s="4">
        <f t="shared" si="5"/>
        <v>0.23728813559322035</v>
      </c>
    </row>
    <row r="66" spans="1:15" x14ac:dyDescent="0.25">
      <c r="A66">
        <v>856</v>
      </c>
      <c r="B66">
        <v>1278</v>
      </c>
      <c r="C66" t="s">
        <v>1220</v>
      </c>
      <c r="D66" t="s">
        <v>1192</v>
      </c>
      <c r="E66" t="s">
        <v>1193</v>
      </c>
      <c r="F66">
        <v>880</v>
      </c>
      <c r="G66">
        <v>1178</v>
      </c>
      <c r="H66" t="s">
        <v>1315</v>
      </c>
      <c r="I66" t="s">
        <v>1316</v>
      </c>
      <c r="J66" t="str">
        <f>_xlfn.XLOOKUP(A66,Status!A:A,Status!B:B)</f>
        <v>DELIVERED</v>
      </c>
      <c r="K66" s="1">
        <f>_xlfn.XLOOKUP(A66,Status!A:A,Status!C:C)</f>
        <v>28302</v>
      </c>
      <c r="L66" s="1">
        <f>_xlfn.XLOOKUP(A66,Status!A:A,Status!D:D)</f>
        <v>28437</v>
      </c>
      <c r="M66" t="str">
        <f t="shared" ref="M66:M97" si="6">IF(F66&gt;500,"Heavy","Light")</f>
        <v>Heavy</v>
      </c>
      <c r="N66">
        <f t="shared" ref="N66:N97" si="7">IF(OR(L66=0,K66=0),"",ABS(L66-K66))</f>
        <v>135</v>
      </c>
      <c r="O66" s="4">
        <f t="shared" ref="O66:O97" si="8">F66/G66</f>
        <v>0.74702886247877764</v>
      </c>
    </row>
    <row r="67" spans="1:15" x14ac:dyDescent="0.25">
      <c r="A67">
        <v>1</v>
      </c>
      <c r="B67">
        <v>1334</v>
      </c>
      <c r="C67" t="s">
        <v>1243</v>
      </c>
      <c r="D67" t="s">
        <v>1196</v>
      </c>
      <c r="E67" t="s">
        <v>1197</v>
      </c>
      <c r="F67">
        <v>947</v>
      </c>
      <c r="G67">
        <v>1385</v>
      </c>
      <c r="H67" t="s">
        <v>1317</v>
      </c>
      <c r="I67" t="s">
        <v>1318</v>
      </c>
      <c r="J67" t="str">
        <f>_xlfn.XLOOKUP(A67,Status!A:A,Status!B:B)</f>
        <v>DELIVERED</v>
      </c>
      <c r="K67" s="1">
        <f>_xlfn.XLOOKUP(A67,Status!A:A,Status!C:C)</f>
        <v>40222</v>
      </c>
      <c r="L67" s="1">
        <f>_xlfn.XLOOKUP(A67,Status!A:A,Status!D:D)</f>
        <v>40512</v>
      </c>
      <c r="M67" t="str">
        <f t="shared" si="6"/>
        <v>Heavy</v>
      </c>
      <c r="N67">
        <f t="shared" si="7"/>
        <v>290</v>
      </c>
      <c r="O67" s="4">
        <f t="shared" si="8"/>
        <v>0.68375451263537901</v>
      </c>
    </row>
    <row r="68" spans="1:15" x14ac:dyDescent="0.25">
      <c r="A68">
        <v>390</v>
      </c>
      <c r="B68">
        <v>8887</v>
      </c>
      <c r="C68" t="s">
        <v>1220</v>
      </c>
      <c r="D68" t="s">
        <v>1192</v>
      </c>
      <c r="E68" t="s">
        <v>1193</v>
      </c>
      <c r="F68">
        <v>234</v>
      </c>
      <c r="G68">
        <v>780</v>
      </c>
      <c r="H68" t="s">
        <v>1319</v>
      </c>
      <c r="I68" t="s">
        <v>1320</v>
      </c>
      <c r="J68" t="str">
        <f>_xlfn.XLOOKUP(A68,Status!A:A,Status!B:B)</f>
        <v>DELIVERED</v>
      </c>
      <c r="K68" s="1">
        <f>_xlfn.XLOOKUP(A68,Status!A:A,Status!C:C)</f>
        <v>39896</v>
      </c>
      <c r="L68" s="1">
        <f>_xlfn.XLOOKUP(A68,Status!A:A,Status!D:D)</f>
        <v>39881</v>
      </c>
      <c r="M68" t="str">
        <f t="shared" si="6"/>
        <v>Light</v>
      </c>
      <c r="N68">
        <f t="shared" si="7"/>
        <v>15</v>
      </c>
      <c r="O68" s="4">
        <f t="shared" si="8"/>
        <v>0.3</v>
      </c>
    </row>
    <row r="69" spans="1:15" x14ac:dyDescent="0.25">
      <c r="A69">
        <v>446</v>
      </c>
      <c r="B69">
        <v>9858</v>
      </c>
      <c r="C69" t="s">
        <v>1209</v>
      </c>
      <c r="D69" t="s">
        <v>1192</v>
      </c>
      <c r="E69" t="s">
        <v>1197</v>
      </c>
      <c r="F69">
        <v>931</v>
      </c>
      <c r="G69">
        <v>1247</v>
      </c>
      <c r="H69" t="s">
        <v>679</v>
      </c>
      <c r="I69" t="s">
        <v>1321</v>
      </c>
      <c r="J69" t="str">
        <f>_xlfn.XLOOKUP(A69,Status!A:A,Status!B:B)</f>
        <v>NOT DELIVERED</v>
      </c>
      <c r="K69" s="1">
        <f>_xlfn.XLOOKUP(A69,Status!A:A,Status!C:C)</f>
        <v>34084</v>
      </c>
      <c r="L69" s="1">
        <f>_xlfn.XLOOKUP(A69,Status!A:A,Status!D:D)</f>
        <v>0</v>
      </c>
      <c r="M69" t="str">
        <f t="shared" si="6"/>
        <v>Heavy</v>
      </c>
      <c r="N69" t="str">
        <f t="shared" si="7"/>
        <v/>
      </c>
      <c r="O69" s="4">
        <f t="shared" si="8"/>
        <v>0.74659182036888527</v>
      </c>
    </row>
    <row r="70" spans="1:15" x14ac:dyDescent="0.25">
      <c r="A70">
        <v>32</v>
      </c>
      <c r="B70">
        <v>9636</v>
      </c>
      <c r="C70" t="s">
        <v>1243</v>
      </c>
      <c r="D70" t="s">
        <v>1192</v>
      </c>
      <c r="E70" t="s">
        <v>1197</v>
      </c>
      <c r="F70">
        <v>478</v>
      </c>
      <c r="G70">
        <v>705</v>
      </c>
      <c r="H70" t="s">
        <v>1322</v>
      </c>
      <c r="I70" t="s">
        <v>1323</v>
      </c>
      <c r="J70" t="str">
        <f>_xlfn.XLOOKUP(A70,Status!A:A,Status!B:B)</f>
        <v>NOT DELIVERED</v>
      </c>
      <c r="K70" s="1">
        <f>_xlfn.XLOOKUP(A70,Status!A:A,Status!C:C)</f>
        <v>38229</v>
      </c>
      <c r="L70" s="1">
        <f>_xlfn.XLOOKUP(A70,Status!A:A,Status!D:D)</f>
        <v>0</v>
      </c>
      <c r="M70" t="str">
        <f t="shared" si="6"/>
        <v>Light</v>
      </c>
      <c r="N70" t="str">
        <f t="shared" si="7"/>
        <v/>
      </c>
      <c r="O70" s="4">
        <f t="shared" si="8"/>
        <v>0.6780141843971631</v>
      </c>
    </row>
    <row r="71" spans="1:15" x14ac:dyDescent="0.25">
      <c r="A71">
        <v>420</v>
      </c>
      <c r="B71">
        <v>9943</v>
      </c>
      <c r="C71" t="s">
        <v>1215</v>
      </c>
      <c r="D71" t="s">
        <v>1192</v>
      </c>
      <c r="E71" t="s">
        <v>1197</v>
      </c>
      <c r="F71">
        <v>638</v>
      </c>
      <c r="G71">
        <v>1130</v>
      </c>
      <c r="H71" t="s">
        <v>1324</v>
      </c>
      <c r="I71" t="s">
        <v>259</v>
      </c>
      <c r="J71" t="str">
        <f>_xlfn.XLOOKUP(A71,Status!A:A,Status!B:B)</f>
        <v>NOT DELIVERED</v>
      </c>
      <c r="K71" s="1">
        <f>_xlfn.XLOOKUP(A71,Status!A:A,Status!C:C)</f>
        <v>32510</v>
      </c>
      <c r="L71" s="1">
        <f>_xlfn.XLOOKUP(A71,Status!A:A,Status!D:D)</f>
        <v>0</v>
      </c>
      <c r="M71" t="str">
        <f t="shared" si="6"/>
        <v>Heavy</v>
      </c>
      <c r="N71" t="str">
        <f t="shared" si="7"/>
        <v/>
      </c>
      <c r="O71" s="4">
        <f t="shared" si="8"/>
        <v>0.56460176991150446</v>
      </c>
    </row>
    <row r="72" spans="1:15" x14ac:dyDescent="0.25">
      <c r="A72">
        <v>708</v>
      </c>
      <c r="B72">
        <v>1246</v>
      </c>
      <c r="C72" t="s">
        <v>1215</v>
      </c>
      <c r="D72" t="s">
        <v>1192</v>
      </c>
      <c r="E72" t="s">
        <v>1197</v>
      </c>
      <c r="F72">
        <v>50</v>
      </c>
      <c r="G72">
        <v>72</v>
      </c>
      <c r="H72" t="s">
        <v>1325</v>
      </c>
      <c r="I72" t="s">
        <v>1326</v>
      </c>
      <c r="J72" t="str">
        <f>_xlfn.XLOOKUP(A72,Status!A:A,Status!B:B)</f>
        <v>DELIVERED</v>
      </c>
      <c r="K72" s="1">
        <f>_xlfn.XLOOKUP(A72,Status!A:A,Status!C:C)</f>
        <v>43515</v>
      </c>
      <c r="L72" s="1">
        <f>_xlfn.XLOOKUP(A72,Status!A:A,Status!D:D)</f>
        <v>43677</v>
      </c>
      <c r="M72" t="str">
        <f t="shared" si="6"/>
        <v>Light</v>
      </c>
      <c r="N72">
        <f t="shared" si="7"/>
        <v>162</v>
      </c>
      <c r="O72" s="4">
        <f t="shared" si="8"/>
        <v>0.69444444444444442</v>
      </c>
    </row>
    <row r="73" spans="1:15" x14ac:dyDescent="0.25">
      <c r="A73">
        <v>227</v>
      </c>
      <c r="B73">
        <v>4527</v>
      </c>
      <c r="C73" t="s">
        <v>1215</v>
      </c>
      <c r="D73" t="s">
        <v>1196</v>
      </c>
      <c r="E73" t="s">
        <v>1193</v>
      </c>
      <c r="F73">
        <v>477</v>
      </c>
      <c r="G73">
        <v>564</v>
      </c>
      <c r="H73" t="s">
        <v>1327</v>
      </c>
      <c r="I73" t="s">
        <v>1328</v>
      </c>
      <c r="J73" t="str">
        <f>_xlfn.XLOOKUP(A73,Status!A:A,Status!B:B)</f>
        <v>DELIVERED</v>
      </c>
      <c r="K73" s="1">
        <f>_xlfn.XLOOKUP(A73,Status!A:A,Status!C:C)</f>
        <v>37281</v>
      </c>
      <c r="L73" s="1">
        <f>_xlfn.XLOOKUP(A73,Status!A:A,Status!D:D)</f>
        <v>37261</v>
      </c>
      <c r="M73" t="str">
        <f t="shared" si="6"/>
        <v>Light</v>
      </c>
      <c r="N73">
        <f t="shared" si="7"/>
        <v>20</v>
      </c>
      <c r="O73" s="4">
        <f t="shared" si="8"/>
        <v>0.8457446808510638</v>
      </c>
    </row>
    <row r="74" spans="1:15" x14ac:dyDescent="0.25">
      <c r="A74">
        <v>595</v>
      </c>
      <c r="B74">
        <v>3782</v>
      </c>
      <c r="C74" t="s">
        <v>1212</v>
      </c>
      <c r="D74" t="s">
        <v>1196</v>
      </c>
      <c r="E74" t="s">
        <v>1193</v>
      </c>
      <c r="F74">
        <v>879</v>
      </c>
      <c r="G74">
        <v>1040</v>
      </c>
      <c r="H74" t="s">
        <v>1329</v>
      </c>
      <c r="I74" t="s">
        <v>1330</v>
      </c>
      <c r="J74" t="str">
        <f>_xlfn.XLOOKUP(A74,Status!A:A,Status!B:B)</f>
        <v>NOT DELIVERED</v>
      </c>
      <c r="K74" s="1">
        <f>_xlfn.XLOOKUP(A74,Status!A:A,Status!C:C)</f>
        <v>37751</v>
      </c>
      <c r="L74" s="1">
        <f>_xlfn.XLOOKUP(A74,Status!A:A,Status!D:D)</f>
        <v>0</v>
      </c>
      <c r="M74" t="str">
        <f t="shared" si="6"/>
        <v>Heavy</v>
      </c>
      <c r="N74" t="str">
        <f t="shared" si="7"/>
        <v/>
      </c>
      <c r="O74" s="4">
        <f t="shared" si="8"/>
        <v>0.84519230769230769</v>
      </c>
    </row>
    <row r="75" spans="1:15" x14ac:dyDescent="0.25">
      <c r="A75">
        <v>211</v>
      </c>
      <c r="B75">
        <v>6225</v>
      </c>
      <c r="C75" t="s">
        <v>1206</v>
      </c>
      <c r="D75" t="s">
        <v>1192</v>
      </c>
      <c r="E75" t="s">
        <v>1197</v>
      </c>
      <c r="F75">
        <v>912</v>
      </c>
      <c r="G75">
        <v>1220</v>
      </c>
      <c r="H75" t="s">
        <v>1331</v>
      </c>
      <c r="I75" t="s">
        <v>1332</v>
      </c>
      <c r="J75" t="str">
        <f>_xlfn.XLOOKUP(A75,Status!A:A,Status!B:B)</f>
        <v>DELIVERED</v>
      </c>
      <c r="K75" s="1">
        <f>_xlfn.XLOOKUP(A75,Status!A:A,Status!C:C)</f>
        <v>38793</v>
      </c>
      <c r="L75" s="1">
        <f>_xlfn.XLOOKUP(A75,Status!A:A,Status!D:D)</f>
        <v>39074</v>
      </c>
      <c r="M75" t="str">
        <f t="shared" si="6"/>
        <v>Heavy</v>
      </c>
      <c r="N75">
        <f t="shared" si="7"/>
        <v>281</v>
      </c>
      <c r="O75" s="4">
        <f t="shared" si="8"/>
        <v>0.74754098360655741</v>
      </c>
    </row>
    <row r="76" spans="1:15" x14ac:dyDescent="0.25">
      <c r="A76">
        <v>650</v>
      </c>
      <c r="B76">
        <v>2257</v>
      </c>
      <c r="C76" t="s">
        <v>1209</v>
      </c>
      <c r="D76" t="s">
        <v>1196</v>
      </c>
      <c r="E76" t="s">
        <v>1193</v>
      </c>
      <c r="F76">
        <v>868</v>
      </c>
      <c r="G76">
        <v>1141</v>
      </c>
      <c r="H76" t="s">
        <v>1333</v>
      </c>
      <c r="I76" t="s">
        <v>1334</v>
      </c>
      <c r="J76" t="str">
        <f>_xlfn.XLOOKUP(A76,Status!A:A,Status!B:B)</f>
        <v>NOT DELIVERED</v>
      </c>
      <c r="K76" s="1">
        <f>_xlfn.XLOOKUP(A76,Status!A:A,Status!C:C)</f>
        <v>39251</v>
      </c>
      <c r="L76" s="1">
        <f>_xlfn.XLOOKUP(A76,Status!A:A,Status!D:D)</f>
        <v>0</v>
      </c>
      <c r="M76" t="str">
        <f t="shared" si="6"/>
        <v>Heavy</v>
      </c>
      <c r="N76" t="str">
        <f t="shared" si="7"/>
        <v/>
      </c>
      <c r="O76" s="4">
        <f t="shared" si="8"/>
        <v>0.76073619631901845</v>
      </c>
    </row>
    <row r="77" spans="1:15" x14ac:dyDescent="0.25">
      <c r="A77">
        <v>45</v>
      </c>
      <c r="B77">
        <v>9177</v>
      </c>
      <c r="C77" t="s">
        <v>1191</v>
      </c>
      <c r="D77" t="s">
        <v>1192</v>
      </c>
      <c r="E77" t="s">
        <v>1197</v>
      </c>
      <c r="F77">
        <v>889</v>
      </c>
      <c r="G77">
        <v>1050</v>
      </c>
      <c r="H77" t="s">
        <v>1335</v>
      </c>
      <c r="I77" t="s">
        <v>1336</v>
      </c>
      <c r="J77" t="str">
        <f>_xlfn.XLOOKUP(A77,Status!A:A,Status!B:B)</f>
        <v>DELIVERED</v>
      </c>
      <c r="K77" s="1">
        <f>_xlfn.XLOOKUP(A77,Status!A:A,Status!C:C)</f>
        <v>35127</v>
      </c>
      <c r="L77" s="1">
        <f>_xlfn.XLOOKUP(A77,Status!A:A,Status!D:D)</f>
        <v>35186</v>
      </c>
      <c r="M77" t="str">
        <f t="shared" si="6"/>
        <v>Heavy</v>
      </c>
      <c r="N77">
        <f t="shared" si="7"/>
        <v>59</v>
      </c>
      <c r="O77" s="4">
        <f t="shared" si="8"/>
        <v>0.84666666666666668</v>
      </c>
    </row>
    <row r="78" spans="1:15" x14ac:dyDescent="0.25">
      <c r="A78">
        <v>201</v>
      </c>
      <c r="B78">
        <v>8703</v>
      </c>
      <c r="C78" t="s">
        <v>1203</v>
      </c>
      <c r="D78" t="s">
        <v>1192</v>
      </c>
      <c r="E78" t="s">
        <v>1193</v>
      </c>
      <c r="F78">
        <v>482</v>
      </c>
      <c r="G78">
        <v>850</v>
      </c>
      <c r="H78" t="s">
        <v>1337</v>
      </c>
      <c r="I78" t="s">
        <v>1338</v>
      </c>
      <c r="J78" t="str">
        <f>_xlfn.XLOOKUP(A78,Status!A:A,Status!B:B)</f>
        <v>NOT DELIVERED</v>
      </c>
      <c r="K78" s="1">
        <f>_xlfn.XLOOKUP(A78,Status!A:A,Status!C:C)</f>
        <v>30287</v>
      </c>
      <c r="L78" s="1">
        <f>_xlfn.XLOOKUP(A78,Status!A:A,Status!D:D)</f>
        <v>0</v>
      </c>
      <c r="M78" t="str">
        <f t="shared" si="6"/>
        <v>Light</v>
      </c>
      <c r="N78" t="str">
        <f t="shared" si="7"/>
        <v/>
      </c>
      <c r="O78" s="4">
        <f t="shared" si="8"/>
        <v>0.56705882352941173</v>
      </c>
    </row>
    <row r="79" spans="1:15" x14ac:dyDescent="0.25">
      <c r="A79">
        <v>564</v>
      </c>
      <c r="B79">
        <v>3514</v>
      </c>
      <c r="C79" t="s">
        <v>1191</v>
      </c>
      <c r="D79" t="s">
        <v>1196</v>
      </c>
      <c r="E79" t="s">
        <v>1197</v>
      </c>
      <c r="F79">
        <v>683</v>
      </c>
      <c r="G79">
        <v>1275</v>
      </c>
      <c r="H79" t="s">
        <v>1339</v>
      </c>
      <c r="I79" t="s">
        <v>1340</v>
      </c>
      <c r="J79" t="str">
        <f>_xlfn.XLOOKUP(A79,Status!A:A,Status!B:B)</f>
        <v>DELIVERED</v>
      </c>
      <c r="K79" s="1">
        <f>_xlfn.XLOOKUP(A79,Status!A:A,Status!C:C)</f>
        <v>38109</v>
      </c>
      <c r="L79" s="1">
        <f>_xlfn.XLOOKUP(A79,Status!A:A,Status!D:D)</f>
        <v>38255</v>
      </c>
      <c r="M79" t="str">
        <f t="shared" si="6"/>
        <v>Heavy</v>
      </c>
      <c r="N79">
        <f t="shared" si="7"/>
        <v>146</v>
      </c>
      <c r="O79" s="4">
        <f t="shared" si="8"/>
        <v>0.53568627450980388</v>
      </c>
    </row>
    <row r="80" spans="1:15" x14ac:dyDescent="0.25">
      <c r="A80">
        <v>138</v>
      </c>
      <c r="B80">
        <v>3089</v>
      </c>
      <c r="C80" t="s">
        <v>1203</v>
      </c>
      <c r="D80" t="s">
        <v>1192</v>
      </c>
      <c r="E80" t="s">
        <v>1193</v>
      </c>
      <c r="F80">
        <v>382</v>
      </c>
      <c r="G80">
        <v>714</v>
      </c>
      <c r="H80" t="s">
        <v>1341</v>
      </c>
      <c r="I80" t="s">
        <v>39</v>
      </c>
      <c r="J80" t="str">
        <f>_xlfn.XLOOKUP(A80,Status!A:A,Status!B:B)</f>
        <v>NOT DELIVERED</v>
      </c>
      <c r="K80" s="1">
        <f>_xlfn.XLOOKUP(A80,Status!A:A,Status!C:C)</f>
        <v>39500</v>
      </c>
      <c r="L80" s="1">
        <f>_xlfn.XLOOKUP(A80,Status!A:A,Status!D:D)</f>
        <v>0</v>
      </c>
      <c r="M80" t="str">
        <f t="shared" si="6"/>
        <v>Light</v>
      </c>
      <c r="N80" t="str">
        <f t="shared" si="7"/>
        <v/>
      </c>
      <c r="O80" s="4">
        <f t="shared" si="8"/>
        <v>0.53501400560224088</v>
      </c>
    </row>
    <row r="81" spans="1:15" x14ac:dyDescent="0.25">
      <c r="A81">
        <v>57</v>
      </c>
      <c r="B81">
        <v>7253</v>
      </c>
      <c r="C81" t="s">
        <v>1232</v>
      </c>
      <c r="D81" t="s">
        <v>1192</v>
      </c>
      <c r="E81" t="s">
        <v>1193</v>
      </c>
      <c r="F81">
        <v>753</v>
      </c>
      <c r="G81">
        <v>1027</v>
      </c>
      <c r="H81" t="s">
        <v>1342</v>
      </c>
      <c r="I81" t="s">
        <v>1343</v>
      </c>
      <c r="J81" t="str">
        <f>_xlfn.XLOOKUP(A81,Status!A:A,Status!B:B)</f>
        <v>DELIVERED</v>
      </c>
      <c r="K81" s="1">
        <f>_xlfn.XLOOKUP(A81,Status!A:A,Status!C:C)</f>
        <v>38064</v>
      </c>
      <c r="L81" s="1">
        <f>_xlfn.XLOOKUP(A81,Status!A:A,Status!D:D)</f>
        <v>38048</v>
      </c>
      <c r="M81" t="str">
        <f t="shared" si="6"/>
        <v>Heavy</v>
      </c>
      <c r="N81">
        <f t="shared" si="7"/>
        <v>16</v>
      </c>
      <c r="O81" s="4">
        <f t="shared" si="8"/>
        <v>0.73320350535540413</v>
      </c>
    </row>
    <row r="82" spans="1:15" x14ac:dyDescent="0.25">
      <c r="A82">
        <v>128</v>
      </c>
      <c r="B82">
        <v>8786</v>
      </c>
      <c r="C82" t="s">
        <v>1243</v>
      </c>
      <c r="D82" t="s">
        <v>1196</v>
      </c>
      <c r="E82" t="s">
        <v>1197</v>
      </c>
      <c r="F82">
        <v>718</v>
      </c>
      <c r="G82">
        <v>1486</v>
      </c>
      <c r="H82" t="s">
        <v>159</v>
      </c>
      <c r="I82" t="s">
        <v>1344</v>
      </c>
      <c r="J82" t="str">
        <f>_xlfn.XLOOKUP(A82,Status!A:A,Status!B:B)</f>
        <v>NOT DELIVERED</v>
      </c>
      <c r="K82" s="1">
        <f>_xlfn.XLOOKUP(A82,Status!A:A,Status!C:C)</f>
        <v>33685</v>
      </c>
      <c r="L82" s="1">
        <f>_xlfn.XLOOKUP(A82,Status!A:A,Status!D:D)</f>
        <v>0</v>
      </c>
      <c r="M82" t="str">
        <f t="shared" si="6"/>
        <v>Heavy</v>
      </c>
      <c r="N82" t="str">
        <f t="shared" si="7"/>
        <v/>
      </c>
      <c r="O82" s="4">
        <f t="shared" si="8"/>
        <v>0.48317631224764468</v>
      </c>
    </row>
    <row r="83" spans="1:15" x14ac:dyDescent="0.25">
      <c r="A83">
        <v>33</v>
      </c>
      <c r="B83">
        <v>1211</v>
      </c>
      <c r="C83" t="s">
        <v>1215</v>
      </c>
      <c r="D83" t="s">
        <v>1192</v>
      </c>
      <c r="E83" t="s">
        <v>1197</v>
      </c>
      <c r="F83">
        <v>577</v>
      </c>
      <c r="G83">
        <v>1312</v>
      </c>
      <c r="H83" t="s">
        <v>1345</v>
      </c>
      <c r="I83" t="s">
        <v>1346</v>
      </c>
      <c r="J83" t="str">
        <f>_xlfn.XLOOKUP(A83,Status!A:A,Status!B:B)</f>
        <v>NOT DELIVERED</v>
      </c>
      <c r="K83" s="1">
        <f>_xlfn.XLOOKUP(A83,Status!A:A,Status!C:C)</f>
        <v>32238</v>
      </c>
      <c r="L83" s="1">
        <f>_xlfn.XLOOKUP(A83,Status!A:A,Status!D:D)</f>
        <v>0</v>
      </c>
      <c r="M83" t="str">
        <f t="shared" si="6"/>
        <v>Heavy</v>
      </c>
      <c r="N83" t="str">
        <f t="shared" si="7"/>
        <v/>
      </c>
      <c r="O83" s="4">
        <f t="shared" si="8"/>
        <v>0.43978658536585363</v>
      </c>
    </row>
    <row r="84" spans="1:15" x14ac:dyDescent="0.25">
      <c r="A84">
        <v>936</v>
      </c>
      <c r="B84">
        <v>359</v>
      </c>
      <c r="C84" t="s">
        <v>1206</v>
      </c>
      <c r="D84" t="s">
        <v>1196</v>
      </c>
      <c r="E84" t="s">
        <v>1197</v>
      </c>
      <c r="F84">
        <v>607</v>
      </c>
      <c r="G84">
        <v>1007</v>
      </c>
      <c r="H84" t="s">
        <v>1347</v>
      </c>
      <c r="I84" t="s">
        <v>1348</v>
      </c>
      <c r="J84" t="str">
        <f>_xlfn.XLOOKUP(A84,Status!A:A,Status!B:B)</f>
        <v>NOT DELIVERED</v>
      </c>
      <c r="K84" s="1">
        <f>_xlfn.XLOOKUP(A84,Status!A:A,Status!C:C)</f>
        <v>41314</v>
      </c>
      <c r="L84" s="1">
        <f>_xlfn.XLOOKUP(A84,Status!A:A,Status!D:D)</f>
        <v>0</v>
      </c>
      <c r="M84" t="str">
        <f t="shared" si="6"/>
        <v>Heavy</v>
      </c>
      <c r="N84" t="str">
        <f t="shared" si="7"/>
        <v/>
      </c>
      <c r="O84" s="4">
        <f t="shared" si="8"/>
        <v>0.60278053624627603</v>
      </c>
    </row>
    <row r="85" spans="1:15" x14ac:dyDescent="0.25">
      <c r="A85">
        <v>762</v>
      </c>
      <c r="B85">
        <v>2066</v>
      </c>
      <c r="C85" t="s">
        <v>1220</v>
      </c>
      <c r="D85" t="s">
        <v>1196</v>
      </c>
      <c r="E85" t="s">
        <v>1193</v>
      </c>
      <c r="F85">
        <v>242</v>
      </c>
      <c r="G85">
        <v>926</v>
      </c>
      <c r="H85" t="s">
        <v>1349</v>
      </c>
      <c r="I85" t="s">
        <v>691</v>
      </c>
      <c r="J85" t="str">
        <f>_xlfn.XLOOKUP(A85,Status!A:A,Status!B:B)</f>
        <v>NOT DELIVERED</v>
      </c>
      <c r="K85" s="1">
        <f>_xlfn.XLOOKUP(A85,Status!A:A,Status!C:C)</f>
        <v>28570</v>
      </c>
      <c r="L85" s="1">
        <f>_xlfn.XLOOKUP(A85,Status!A:A,Status!D:D)</f>
        <v>0</v>
      </c>
      <c r="M85" t="str">
        <f t="shared" si="6"/>
        <v>Light</v>
      </c>
      <c r="N85" t="str">
        <f t="shared" si="7"/>
        <v/>
      </c>
      <c r="O85" s="4">
        <f t="shared" si="8"/>
        <v>0.26133909287257018</v>
      </c>
    </row>
    <row r="86" spans="1:15" x14ac:dyDescent="0.25">
      <c r="A86">
        <v>838</v>
      </c>
      <c r="B86">
        <v>4322</v>
      </c>
      <c r="C86" t="s">
        <v>1215</v>
      </c>
      <c r="D86" t="s">
        <v>1196</v>
      </c>
      <c r="E86" t="s">
        <v>1197</v>
      </c>
      <c r="F86">
        <v>593</v>
      </c>
      <c r="G86">
        <v>1036</v>
      </c>
      <c r="H86" t="s">
        <v>42</v>
      </c>
      <c r="I86" t="s">
        <v>1350</v>
      </c>
      <c r="J86" t="str">
        <f>_xlfn.XLOOKUP(A86,Status!A:A,Status!B:B)</f>
        <v>DELIVERED</v>
      </c>
      <c r="K86" s="1">
        <f>_xlfn.XLOOKUP(A86,Status!A:A,Status!C:C)</f>
        <v>34704</v>
      </c>
      <c r="L86" s="1">
        <f>_xlfn.XLOOKUP(A86,Status!A:A,Status!D:D)</f>
        <v>34934</v>
      </c>
      <c r="M86" t="str">
        <f t="shared" si="6"/>
        <v>Heavy</v>
      </c>
      <c r="N86">
        <f t="shared" si="7"/>
        <v>230</v>
      </c>
      <c r="O86" s="4">
        <f t="shared" si="8"/>
        <v>0.57239382239382242</v>
      </c>
    </row>
    <row r="87" spans="1:15" x14ac:dyDescent="0.25">
      <c r="A87">
        <v>215</v>
      </c>
      <c r="B87">
        <v>7773</v>
      </c>
      <c r="C87" t="s">
        <v>1206</v>
      </c>
      <c r="D87" t="s">
        <v>1192</v>
      </c>
      <c r="E87" t="s">
        <v>1197</v>
      </c>
      <c r="F87">
        <v>812</v>
      </c>
      <c r="G87">
        <v>1161</v>
      </c>
      <c r="H87" t="s">
        <v>1351</v>
      </c>
      <c r="I87" t="s">
        <v>1352</v>
      </c>
      <c r="J87" t="str">
        <f>_xlfn.XLOOKUP(A87,Status!A:A,Status!B:B)</f>
        <v>DELIVERED</v>
      </c>
      <c r="K87" s="1">
        <f>_xlfn.XLOOKUP(A87,Status!A:A,Status!C:C)</f>
        <v>31057</v>
      </c>
      <c r="L87" s="1">
        <f>_xlfn.XLOOKUP(A87,Status!A:A,Status!D:D)</f>
        <v>31078</v>
      </c>
      <c r="M87" t="str">
        <f t="shared" si="6"/>
        <v>Heavy</v>
      </c>
      <c r="N87">
        <f t="shared" si="7"/>
        <v>21</v>
      </c>
      <c r="O87" s="4">
        <f t="shared" si="8"/>
        <v>0.69939707149009478</v>
      </c>
    </row>
    <row r="88" spans="1:15" x14ac:dyDescent="0.25">
      <c r="A88">
        <v>818</v>
      </c>
      <c r="B88">
        <v>6746</v>
      </c>
      <c r="C88" t="s">
        <v>1217</v>
      </c>
      <c r="D88" t="s">
        <v>1192</v>
      </c>
      <c r="E88" t="s">
        <v>1197</v>
      </c>
      <c r="F88">
        <v>833</v>
      </c>
      <c r="G88">
        <v>1016</v>
      </c>
      <c r="H88" t="s">
        <v>216</v>
      </c>
      <c r="I88" t="s">
        <v>1353</v>
      </c>
      <c r="J88" t="str">
        <f>_xlfn.XLOOKUP(A88,Status!A:A,Status!B:B)</f>
        <v>DELIVERED</v>
      </c>
      <c r="K88" s="1">
        <f>_xlfn.XLOOKUP(A88,Status!A:A,Status!C:C)</f>
        <v>38957</v>
      </c>
      <c r="L88" s="1">
        <f>_xlfn.XLOOKUP(A88,Status!A:A,Status!D:D)</f>
        <v>39010</v>
      </c>
      <c r="M88" t="str">
        <f t="shared" si="6"/>
        <v>Heavy</v>
      </c>
      <c r="N88">
        <f t="shared" si="7"/>
        <v>53</v>
      </c>
      <c r="O88" s="4">
        <f t="shared" si="8"/>
        <v>0.81988188976377951</v>
      </c>
    </row>
    <row r="89" spans="1:15" x14ac:dyDescent="0.25">
      <c r="A89">
        <v>780</v>
      </c>
      <c r="B89">
        <v>6732</v>
      </c>
      <c r="C89" t="s">
        <v>1191</v>
      </c>
      <c r="D89" t="s">
        <v>1196</v>
      </c>
      <c r="E89" t="s">
        <v>1197</v>
      </c>
      <c r="F89">
        <v>872</v>
      </c>
      <c r="G89">
        <v>1058</v>
      </c>
      <c r="H89" t="s">
        <v>1354</v>
      </c>
      <c r="I89" t="s">
        <v>429</v>
      </c>
      <c r="J89" t="str">
        <f>_xlfn.XLOOKUP(A89,Status!A:A,Status!B:B)</f>
        <v>DELIVERED</v>
      </c>
      <c r="K89" s="1">
        <f>_xlfn.XLOOKUP(A89,Status!A:A,Status!C:C)</f>
        <v>32793</v>
      </c>
      <c r="L89" s="1">
        <f>_xlfn.XLOOKUP(A89,Status!A:A,Status!D:D)</f>
        <v>32798</v>
      </c>
      <c r="M89" t="str">
        <f t="shared" si="6"/>
        <v>Heavy</v>
      </c>
      <c r="N89">
        <f t="shared" si="7"/>
        <v>5</v>
      </c>
      <c r="O89" s="4">
        <f t="shared" si="8"/>
        <v>0.82419659735349715</v>
      </c>
    </row>
    <row r="90" spans="1:15" x14ac:dyDescent="0.25">
      <c r="A90">
        <v>40</v>
      </c>
      <c r="B90">
        <v>805</v>
      </c>
      <c r="C90" t="s">
        <v>1243</v>
      </c>
      <c r="D90" t="s">
        <v>1192</v>
      </c>
      <c r="E90" t="s">
        <v>1193</v>
      </c>
      <c r="F90">
        <v>483</v>
      </c>
      <c r="G90">
        <v>648</v>
      </c>
      <c r="H90" t="s">
        <v>1291</v>
      </c>
      <c r="I90" t="s">
        <v>1355</v>
      </c>
      <c r="J90" t="str">
        <f>_xlfn.XLOOKUP(A90,Status!A:A,Status!B:B)</f>
        <v>NOT DELIVERED</v>
      </c>
      <c r="K90" s="1">
        <f>_xlfn.XLOOKUP(A90,Status!A:A,Status!C:C)</f>
        <v>29344</v>
      </c>
      <c r="L90" s="1">
        <f>_xlfn.XLOOKUP(A90,Status!A:A,Status!D:D)</f>
        <v>0</v>
      </c>
      <c r="M90" t="str">
        <f t="shared" si="6"/>
        <v>Light</v>
      </c>
      <c r="N90" t="str">
        <f t="shared" si="7"/>
        <v/>
      </c>
      <c r="O90" s="4">
        <f t="shared" si="8"/>
        <v>0.74537037037037035</v>
      </c>
    </row>
    <row r="91" spans="1:15" x14ac:dyDescent="0.25">
      <c r="A91">
        <v>366</v>
      </c>
      <c r="B91">
        <v>7540</v>
      </c>
      <c r="C91" t="s">
        <v>1212</v>
      </c>
      <c r="D91" t="s">
        <v>1196</v>
      </c>
      <c r="E91" t="s">
        <v>1193</v>
      </c>
      <c r="F91">
        <v>679</v>
      </c>
      <c r="G91">
        <v>1015</v>
      </c>
      <c r="H91" t="s">
        <v>1356</v>
      </c>
      <c r="I91" t="s">
        <v>1357</v>
      </c>
      <c r="J91" t="str">
        <f>_xlfn.XLOOKUP(A91,Status!A:A,Status!B:B)</f>
        <v>DELIVERED</v>
      </c>
      <c r="K91" s="1">
        <f>_xlfn.XLOOKUP(A91,Status!A:A,Status!C:C)</f>
        <v>29281</v>
      </c>
      <c r="L91" s="1">
        <f>_xlfn.XLOOKUP(A91,Status!A:A,Status!D:D)</f>
        <v>29296</v>
      </c>
      <c r="M91" t="str">
        <f t="shared" si="6"/>
        <v>Heavy</v>
      </c>
      <c r="N91">
        <f t="shared" si="7"/>
        <v>15</v>
      </c>
      <c r="O91" s="4">
        <f t="shared" si="8"/>
        <v>0.66896551724137931</v>
      </c>
    </row>
    <row r="92" spans="1:15" x14ac:dyDescent="0.25">
      <c r="A92">
        <v>678</v>
      </c>
      <c r="B92">
        <v>5269</v>
      </c>
      <c r="C92" t="s">
        <v>1217</v>
      </c>
      <c r="D92" t="s">
        <v>1196</v>
      </c>
      <c r="E92" t="s">
        <v>1197</v>
      </c>
      <c r="F92">
        <v>318</v>
      </c>
      <c r="G92">
        <v>938</v>
      </c>
      <c r="H92" t="s">
        <v>1358</v>
      </c>
      <c r="I92" t="s">
        <v>51</v>
      </c>
      <c r="J92" t="str">
        <f>_xlfn.XLOOKUP(A92,Status!A:A,Status!B:B)</f>
        <v>NOT DELIVERED</v>
      </c>
      <c r="K92" s="1">
        <f>_xlfn.XLOOKUP(A92,Status!A:A,Status!C:C)</f>
        <v>34349</v>
      </c>
      <c r="L92" s="1">
        <f>_xlfn.XLOOKUP(A92,Status!A:A,Status!D:D)</f>
        <v>0</v>
      </c>
      <c r="M92" t="str">
        <f t="shared" si="6"/>
        <v>Light</v>
      </c>
      <c r="N92" t="str">
        <f t="shared" si="7"/>
        <v/>
      </c>
      <c r="O92" s="4">
        <f t="shared" si="8"/>
        <v>0.33901918976545842</v>
      </c>
    </row>
    <row r="93" spans="1:15" x14ac:dyDescent="0.25">
      <c r="A93">
        <v>703</v>
      </c>
      <c r="B93">
        <v>8404</v>
      </c>
      <c r="C93" t="s">
        <v>1203</v>
      </c>
      <c r="D93" t="s">
        <v>1192</v>
      </c>
      <c r="E93" t="s">
        <v>1197</v>
      </c>
      <c r="F93">
        <v>329</v>
      </c>
      <c r="G93">
        <v>597</v>
      </c>
      <c r="H93" t="s">
        <v>1359</v>
      </c>
      <c r="I93" t="s">
        <v>1360</v>
      </c>
      <c r="J93" t="str">
        <f>_xlfn.XLOOKUP(A93,Status!A:A,Status!B:B)</f>
        <v>NOT DELIVERED</v>
      </c>
      <c r="K93" s="1">
        <f>_xlfn.XLOOKUP(A93,Status!A:A,Status!C:C)</f>
        <v>42760</v>
      </c>
      <c r="L93" s="1">
        <f>_xlfn.XLOOKUP(A93,Status!A:A,Status!D:D)</f>
        <v>0</v>
      </c>
      <c r="M93" t="str">
        <f t="shared" si="6"/>
        <v>Light</v>
      </c>
      <c r="N93" t="str">
        <f t="shared" si="7"/>
        <v/>
      </c>
      <c r="O93" s="4">
        <f t="shared" si="8"/>
        <v>0.5510887772194305</v>
      </c>
    </row>
    <row r="94" spans="1:15" x14ac:dyDescent="0.25">
      <c r="A94">
        <v>180</v>
      </c>
      <c r="B94">
        <v>519</v>
      </c>
      <c r="C94" t="s">
        <v>1200</v>
      </c>
      <c r="D94" t="s">
        <v>1192</v>
      </c>
      <c r="E94" t="s">
        <v>1193</v>
      </c>
      <c r="F94">
        <v>588</v>
      </c>
      <c r="G94">
        <v>1182</v>
      </c>
      <c r="H94" t="s">
        <v>504</v>
      </c>
      <c r="I94" t="s">
        <v>1361</v>
      </c>
      <c r="J94" t="str">
        <f>_xlfn.XLOOKUP(A94,Status!A:A,Status!B:B)</f>
        <v>NOT DELIVERED</v>
      </c>
      <c r="K94" s="1">
        <f>_xlfn.XLOOKUP(A94,Status!A:A,Status!C:C)</f>
        <v>27485</v>
      </c>
      <c r="L94" s="1">
        <f>_xlfn.XLOOKUP(A94,Status!A:A,Status!D:D)</f>
        <v>0</v>
      </c>
      <c r="M94" t="str">
        <f t="shared" si="6"/>
        <v>Heavy</v>
      </c>
      <c r="N94" t="str">
        <f t="shared" si="7"/>
        <v/>
      </c>
      <c r="O94" s="4">
        <f t="shared" si="8"/>
        <v>0.49746192893401014</v>
      </c>
    </row>
    <row r="95" spans="1:15" x14ac:dyDescent="0.25">
      <c r="A95">
        <v>214</v>
      </c>
      <c r="B95">
        <v>4060</v>
      </c>
      <c r="C95" t="s">
        <v>1209</v>
      </c>
      <c r="D95" t="s">
        <v>1196</v>
      </c>
      <c r="E95" t="s">
        <v>1193</v>
      </c>
      <c r="F95">
        <v>442</v>
      </c>
      <c r="G95">
        <v>713</v>
      </c>
      <c r="H95" t="s">
        <v>1362</v>
      </c>
      <c r="I95" t="s">
        <v>1363</v>
      </c>
      <c r="J95" t="str">
        <f>_xlfn.XLOOKUP(A95,Status!A:A,Status!B:B)</f>
        <v>DELIVERED</v>
      </c>
      <c r="K95" s="1">
        <f>_xlfn.XLOOKUP(A95,Status!A:A,Status!C:C)</f>
        <v>31842</v>
      </c>
      <c r="L95" s="1">
        <f>_xlfn.XLOOKUP(A95,Status!A:A,Status!D:D)</f>
        <v>31998</v>
      </c>
      <c r="M95" t="str">
        <f t="shared" si="6"/>
        <v>Light</v>
      </c>
      <c r="N95">
        <f t="shared" si="7"/>
        <v>156</v>
      </c>
      <c r="O95" s="4">
        <f t="shared" si="8"/>
        <v>0.61991584852734927</v>
      </c>
    </row>
    <row r="96" spans="1:15" x14ac:dyDescent="0.25">
      <c r="A96">
        <v>408</v>
      </c>
      <c r="B96">
        <v>8860</v>
      </c>
      <c r="C96" t="s">
        <v>1217</v>
      </c>
      <c r="D96" t="s">
        <v>1192</v>
      </c>
      <c r="E96" t="s">
        <v>1197</v>
      </c>
      <c r="F96">
        <v>216</v>
      </c>
      <c r="G96">
        <v>939</v>
      </c>
      <c r="H96" t="s">
        <v>1253</v>
      </c>
      <c r="I96" t="s">
        <v>1364</v>
      </c>
      <c r="J96" t="str">
        <f>_xlfn.XLOOKUP(A96,Status!A:A,Status!B:B)</f>
        <v>DELIVERED</v>
      </c>
      <c r="K96" s="1">
        <f>_xlfn.XLOOKUP(A96,Status!A:A,Status!C:C)</f>
        <v>32925</v>
      </c>
      <c r="L96" s="1">
        <f>_xlfn.XLOOKUP(A96,Status!A:A,Status!D:D)</f>
        <v>33127</v>
      </c>
      <c r="M96" t="str">
        <f t="shared" si="6"/>
        <v>Light</v>
      </c>
      <c r="N96">
        <f t="shared" si="7"/>
        <v>202</v>
      </c>
      <c r="O96" s="4">
        <f t="shared" si="8"/>
        <v>0.23003194888178913</v>
      </c>
    </row>
    <row r="97" spans="1:15" x14ac:dyDescent="0.25">
      <c r="A97">
        <v>902</v>
      </c>
      <c r="B97">
        <v>7164</v>
      </c>
      <c r="C97" t="s">
        <v>1232</v>
      </c>
      <c r="D97" t="s">
        <v>1192</v>
      </c>
      <c r="E97" t="s">
        <v>1197</v>
      </c>
      <c r="F97">
        <v>946</v>
      </c>
      <c r="G97">
        <v>1082</v>
      </c>
      <c r="H97" t="s">
        <v>1365</v>
      </c>
      <c r="I97" t="s">
        <v>1366</v>
      </c>
      <c r="J97" t="str">
        <f>_xlfn.XLOOKUP(A97,Status!A:A,Status!B:B)</f>
        <v>DELIVERED</v>
      </c>
      <c r="K97" s="1">
        <f>_xlfn.XLOOKUP(A97,Status!A:A,Status!C:C)</f>
        <v>32514</v>
      </c>
      <c r="L97" s="1">
        <f>_xlfn.XLOOKUP(A97,Status!A:A,Status!D:D)</f>
        <v>32768</v>
      </c>
      <c r="M97" t="str">
        <f t="shared" si="6"/>
        <v>Heavy</v>
      </c>
      <c r="N97">
        <f t="shared" si="7"/>
        <v>254</v>
      </c>
      <c r="O97" s="4">
        <f t="shared" si="8"/>
        <v>0.87430683918669128</v>
      </c>
    </row>
    <row r="98" spans="1:15" x14ac:dyDescent="0.25">
      <c r="A98">
        <v>763</v>
      </c>
      <c r="B98">
        <v>9792</v>
      </c>
      <c r="C98" t="s">
        <v>1200</v>
      </c>
      <c r="D98" t="s">
        <v>1196</v>
      </c>
      <c r="E98" t="s">
        <v>1197</v>
      </c>
      <c r="F98">
        <v>796</v>
      </c>
      <c r="G98">
        <v>1347</v>
      </c>
      <c r="H98" t="s">
        <v>1237</v>
      </c>
      <c r="I98" t="s">
        <v>42</v>
      </c>
      <c r="J98" t="str">
        <f>_xlfn.XLOOKUP(A98,Status!A:A,Status!B:B)</f>
        <v>DELIVERED</v>
      </c>
      <c r="K98" s="1">
        <f>_xlfn.XLOOKUP(A98,Status!A:A,Status!C:C)</f>
        <v>41819</v>
      </c>
      <c r="L98" s="1">
        <f>_xlfn.XLOOKUP(A98,Status!A:A,Status!D:D)</f>
        <v>41891</v>
      </c>
      <c r="M98" t="str">
        <f t="shared" ref="M98:M129" si="9">IF(F98&gt;500,"Heavy","Light")</f>
        <v>Heavy</v>
      </c>
      <c r="N98">
        <f t="shared" ref="N98:N129" si="10">IF(OR(L98=0,K98=0),"",ABS(L98-K98))</f>
        <v>72</v>
      </c>
      <c r="O98" s="4">
        <f t="shared" ref="O98:O129" si="11">F98/G98</f>
        <v>0.59094283593170005</v>
      </c>
    </row>
    <row r="99" spans="1:15" x14ac:dyDescent="0.25">
      <c r="A99">
        <v>168</v>
      </c>
      <c r="B99">
        <v>9934</v>
      </c>
      <c r="C99" t="s">
        <v>1243</v>
      </c>
      <c r="D99" t="s">
        <v>1192</v>
      </c>
      <c r="E99" t="s">
        <v>1193</v>
      </c>
      <c r="F99">
        <v>26</v>
      </c>
      <c r="G99">
        <v>47</v>
      </c>
      <c r="H99" t="s">
        <v>1367</v>
      </c>
      <c r="I99" t="s">
        <v>1368</v>
      </c>
      <c r="J99" t="str">
        <f>_xlfn.XLOOKUP(A99,Status!A:A,Status!B:B)</f>
        <v>DELIVERED</v>
      </c>
      <c r="K99" s="1">
        <f>_xlfn.XLOOKUP(A99,Status!A:A,Status!C:C)</f>
        <v>35435</v>
      </c>
      <c r="L99" s="1">
        <f>_xlfn.XLOOKUP(A99,Status!A:A,Status!D:D)</f>
        <v>35593</v>
      </c>
      <c r="M99" t="str">
        <f t="shared" si="9"/>
        <v>Light</v>
      </c>
      <c r="N99">
        <f t="shared" si="10"/>
        <v>158</v>
      </c>
      <c r="O99" s="4">
        <f t="shared" si="11"/>
        <v>0.55319148936170215</v>
      </c>
    </row>
    <row r="100" spans="1:15" x14ac:dyDescent="0.25">
      <c r="A100">
        <v>723</v>
      </c>
      <c r="B100">
        <v>1980</v>
      </c>
      <c r="C100" t="s">
        <v>1220</v>
      </c>
      <c r="D100" t="s">
        <v>1192</v>
      </c>
      <c r="E100" t="s">
        <v>1197</v>
      </c>
      <c r="F100">
        <v>490</v>
      </c>
      <c r="G100">
        <v>762</v>
      </c>
      <c r="H100" t="s">
        <v>1369</v>
      </c>
      <c r="I100" t="s">
        <v>1370</v>
      </c>
      <c r="J100" t="str">
        <f>_xlfn.XLOOKUP(A100,Status!A:A,Status!B:B)</f>
        <v>NOT DELIVERED</v>
      </c>
      <c r="K100" s="1">
        <f>_xlfn.XLOOKUP(A100,Status!A:A,Status!C:C)</f>
        <v>29790</v>
      </c>
      <c r="L100" s="1">
        <f>_xlfn.XLOOKUP(A100,Status!A:A,Status!D:D)</f>
        <v>0</v>
      </c>
      <c r="M100" t="str">
        <f t="shared" si="9"/>
        <v>Light</v>
      </c>
      <c r="N100" t="str">
        <f t="shared" si="10"/>
        <v/>
      </c>
      <c r="O100" s="4">
        <f t="shared" si="11"/>
        <v>0.64304461942257218</v>
      </c>
    </row>
    <row r="101" spans="1:15" x14ac:dyDescent="0.25">
      <c r="A101">
        <v>438</v>
      </c>
      <c r="B101">
        <v>9251</v>
      </c>
      <c r="C101" t="s">
        <v>1203</v>
      </c>
      <c r="D101" t="s">
        <v>1192</v>
      </c>
      <c r="E101" t="s">
        <v>1193</v>
      </c>
      <c r="F101">
        <v>430</v>
      </c>
      <c r="G101">
        <v>642</v>
      </c>
      <c r="H101" t="s">
        <v>1371</v>
      </c>
      <c r="I101" t="s">
        <v>1372</v>
      </c>
      <c r="J101" t="str">
        <f>_xlfn.XLOOKUP(A101,Status!A:A,Status!B:B)</f>
        <v>DELIVERED</v>
      </c>
      <c r="K101" s="1">
        <f>_xlfn.XLOOKUP(A101,Status!A:A,Status!C:C)</f>
        <v>28210</v>
      </c>
      <c r="L101" s="1">
        <f>_xlfn.XLOOKUP(A101,Status!A:A,Status!D:D)</f>
        <v>28214</v>
      </c>
      <c r="M101" t="str">
        <f t="shared" si="9"/>
        <v>Light</v>
      </c>
      <c r="N101">
        <f t="shared" si="10"/>
        <v>4</v>
      </c>
      <c r="O101" s="4">
        <f t="shared" si="11"/>
        <v>0.66978193146417442</v>
      </c>
    </row>
    <row r="102" spans="1:15" x14ac:dyDescent="0.25">
      <c r="A102">
        <v>162</v>
      </c>
      <c r="B102">
        <v>6717</v>
      </c>
      <c r="C102" t="s">
        <v>1243</v>
      </c>
      <c r="D102" t="s">
        <v>1192</v>
      </c>
      <c r="E102" t="s">
        <v>1197</v>
      </c>
      <c r="F102">
        <v>209</v>
      </c>
      <c r="G102">
        <v>665</v>
      </c>
      <c r="H102" t="s">
        <v>1373</v>
      </c>
      <c r="I102" t="s">
        <v>1374</v>
      </c>
      <c r="J102" t="str">
        <f>_xlfn.XLOOKUP(A102,Status!A:A,Status!B:B)</f>
        <v>DELIVERED</v>
      </c>
      <c r="K102" s="1">
        <f>_xlfn.XLOOKUP(A102,Status!A:A,Status!C:C)</f>
        <v>30112</v>
      </c>
      <c r="L102" s="1">
        <f>_xlfn.XLOOKUP(A102,Status!A:A,Status!D:D)</f>
        <v>30253</v>
      </c>
      <c r="M102" t="str">
        <f t="shared" si="9"/>
        <v>Light</v>
      </c>
      <c r="N102">
        <f t="shared" si="10"/>
        <v>141</v>
      </c>
      <c r="O102" s="4">
        <f t="shared" si="11"/>
        <v>0.31428571428571428</v>
      </c>
    </row>
    <row r="103" spans="1:15" x14ac:dyDescent="0.25">
      <c r="A103">
        <v>246</v>
      </c>
      <c r="B103">
        <v>3622</v>
      </c>
      <c r="C103" t="s">
        <v>1220</v>
      </c>
      <c r="D103" t="s">
        <v>1196</v>
      </c>
      <c r="E103" t="s">
        <v>1197</v>
      </c>
      <c r="F103">
        <v>379</v>
      </c>
      <c r="G103">
        <v>963</v>
      </c>
      <c r="H103" t="s">
        <v>1375</v>
      </c>
      <c r="I103" t="s">
        <v>1376</v>
      </c>
      <c r="J103" t="str">
        <f>_xlfn.XLOOKUP(A103,Status!A:A,Status!B:B)</f>
        <v>DELIVERED</v>
      </c>
      <c r="K103" s="1">
        <f>_xlfn.XLOOKUP(A103,Status!A:A,Status!C:C)</f>
        <v>43527</v>
      </c>
      <c r="L103" s="1">
        <f>_xlfn.XLOOKUP(A103,Status!A:A,Status!D:D)</f>
        <v>43525</v>
      </c>
      <c r="M103" t="str">
        <f t="shared" si="9"/>
        <v>Light</v>
      </c>
      <c r="N103">
        <f t="shared" si="10"/>
        <v>2</v>
      </c>
      <c r="O103" s="4">
        <f t="shared" si="11"/>
        <v>0.39356178608515058</v>
      </c>
    </row>
    <row r="104" spans="1:15" x14ac:dyDescent="0.25">
      <c r="A104">
        <v>105</v>
      </c>
      <c r="B104">
        <v>8808</v>
      </c>
      <c r="C104" t="s">
        <v>1215</v>
      </c>
      <c r="D104" t="s">
        <v>1192</v>
      </c>
      <c r="E104" t="s">
        <v>1193</v>
      </c>
      <c r="F104">
        <v>949</v>
      </c>
      <c r="G104">
        <v>1419</v>
      </c>
      <c r="H104" t="s">
        <v>1377</v>
      </c>
      <c r="I104" t="s">
        <v>1378</v>
      </c>
      <c r="J104" t="str">
        <f>_xlfn.XLOOKUP(A104,Status!A:A,Status!B:B)</f>
        <v>NOT DELIVERED</v>
      </c>
      <c r="K104" s="1">
        <f>_xlfn.XLOOKUP(A104,Status!A:A,Status!C:C)</f>
        <v>35669</v>
      </c>
      <c r="L104" s="1">
        <f>_xlfn.XLOOKUP(A104,Status!A:A,Status!D:D)</f>
        <v>0</v>
      </c>
      <c r="M104" t="str">
        <f t="shared" si="9"/>
        <v>Heavy</v>
      </c>
      <c r="N104" t="str">
        <f t="shared" si="10"/>
        <v/>
      </c>
      <c r="O104" s="4">
        <f t="shared" si="11"/>
        <v>0.66878083157152923</v>
      </c>
    </row>
    <row r="105" spans="1:15" x14ac:dyDescent="0.25">
      <c r="A105">
        <v>308</v>
      </c>
      <c r="B105">
        <v>4920</v>
      </c>
      <c r="C105" t="s">
        <v>1206</v>
      </c>
      <c r="D105" t="s">
        <v>1192</v>
      </c>
      <c r="E105" t="s">
        <v>1197</v>
      </c>
      <c r="F105">
        <v>438</v>
      </c>
      <c r="G105">
        <v>656</v>
      </c>
      <c r="H105" t="s">
        <v>1379</v>
      </c>
      <c r="I105" t="s">
        <v>1353</v>
      </c>
      <c r="J105" t="str">
        <f>_xlfn.XLOOKUP(A105,Status!A:A,Status!B:B)</f>
        <v>NOT DELIVERED</v>
      </c>
      <c r="K105" s="1">
        <f>_xlfn.XLOOKUP(A105,Status!A:A,Status!C:C)</f>
        <v>28883</v>
      </c>
      <c r="L105" s="1">
        <f>_xlfn.XLOOKUP(A105,Status!A:A,Status!D:D)</f>
        <v>0</v>
      </c>
      <c r="M105" t="str">
        <f t="shared" si="9"/>
        <v>Light</v>
      </c>
      <c r="N105" t="str">
        <f t="shared" si="10"/>
        <v/>
      </c>
      <c r="O105" s="4">
        <f t="shared" si="11"/>
        <v>0.66768292682926833</v>
      </c>
    </row>
    <row r="106" spans="1:15" x14ac:dyDescent="0.25">
      <c r="A106">
        <v>172</v>
      </c>
      <c r="B106">
        <v>3140</v>
      </c>
      <c r="C106" t="s">
        <v>1209</v>
      </c>
      <c r="D106" t="s">
        <v>1196</v>
      </c>
      <c r="E106" t="s">
        <v>1197</v>
      </c>
      <c r="F106">
        <v>726</v>
      </c>
      <c r="G106">
        <v>1381</v>
      </c>
      <c r="H106" t="s">
        <v>1380</v>
      </c>
      <c r="I106" t="s">
        <v>1381</v>
      </c>
      <c r="J106" t="str">
        <f>_xlfn.XLOOKUP(A106,Status!A:A,Status!B:B)</f>
        <v>DELIVERED</v>
      </c>
      <c r="K106" s="1">
        <f>_xlfn.XLOOKUP(A106,Status!A:A,Status!C:C)</f>
        <v>38289</v>
      </c>
      <c r="L106" s="1">
        <f>_xlfn.XLOOKUP(A106,Status!A:A,Status!D:D)</f>
        <v>38286</v>
      </c>
      <c r="M106" t="str">
        <f t="shared" si="9"/>
        <v>Heavy</v>
      </c>
      <c r="N106">
        <f t="shared" si="10"/>
        <v>3</v>
      </c>
      <c r="O106" s="4">
        <f t="shared" si="11"/>
        <v>0.52570601013758145</v>
      </c>
    </row>
    <row r="107" spans="1:15" x14ac:dyDescent="0.25">
      <c r="A107">
        <v>775</v>
      </c>
      <c r="B107">
        <v>8104</v>
      </c>
      <c r="C107" t="s">
        <v>1203</v>
      </c>
      <c r="D107" t="s">
        <v>1192</v>
      </c>
      <c r="E107" t="s">
        <v>1197</v>
      </c>
      <c r="F107">
        <v>451</v>
      </c>
      <c r="G107">
        <v>713</v>
      </c>
      <c r="H107" t="s">
        <v>640</v>
      </c>
      <c r="I107" t="s">
        <v>1382</v>
      </c>
      <c r="J107" t="str">
        <f>_xlfn.XLOOKUP(A107,Status!A:A,Status!B:B)</f>
        <v>NOT DELIVERED</v>
      </c>
      <c r="K107" s="1">
        <f>_xlfn.XLOOKUP(A107,Status!A:A,Status!C:C)</f>
        <v>38258</v>
      </c>
      <c r="L107" s="1">
        <f>_xlfn.XLOOKUP(A107,Status!A:A,Status!D:D)</f>
        <v>0</v>
      </c>
      <c r="M107" t="str">
        <f t="shared" si="9"/>
        <v>Light</v>
      </c>
      <c r="N107" t="str">
        <f t="shared" si="10"/>
        <v/>
      </c>
      <c r="O107" s="4">
        <f t="shared" si="11"/>
        <v>0.63253856942496489</v>
      </c>
    </row>
    <row r="108" spans="1:15" x14ac:dyDescent="0.25">
      <c r="A108">
        <v>333</v>
      </c>
      <c r="B108">
        <v>2208</v>
      </c>
      <c r="C108" t="s">
        <v>1200</v>
      </c>
      <c r="D108" t="s">
        <v>1192</v>
      </c>
      <c r="E108" t="s">
        <v>1193</v>
      </c>
      <c r="F108">
        <v>812</v>
      </c>
      <c r="G108">
        <v>1104</v>
      </c>
      <c r="H108" t="s">
        <v>1383</v>
      </c>
      <c r="I108" t="s">
        <v>1384</v>
      </c>
      <c r="J108" t="str">
        <f>_xlfn.XLOOKUP(A108,Status!A:A,Status!B:B)</f>
        <v>DELIVERED</v>
      </c>
      <c r="K108" s="1">
        <f>_xlfn.XLOOKUP(A108,Status!A:A,Status!C:C)</f>
        <v>41286</v>
      </c>
      <c r="L108" s="1">
        <f>_xlfn.XLOOKUP(A108,Status!A:A,Status!D:D)</f>
        <v>41497</v>
      </c>
      <c r="M108" t="str">
        <f t="shared" si="9"/>
        <v>Heavy</v>
      </c>
      <c r="N108">
        <f t="shared" si="10"/>
        <v>211</v>
      </c>
      <c r="O108" s="4">
        <f t="shared" si="11"/>
        <v>0.73550724637681164</v>
      </c>
    </row>
    <row r="109" spans="1:15" x14ac:dyDescent="0.25">
      <c r="A109">
        <v>548</v>
      </c>
      <c r="B109">
        <v>7043</v>
      </c>
      <c r="C109" t="s">
        <v>1191</v>
      </c>
      <c r="D109" t="s">
        <v>1196</v>
      </c>
      <c r="E109" t="s">
        <v>1193</v>
      </c>
      <c r="F109">
        <v>240</v>
      </c>
      <c r="G109">
        <v>571</v>
      </c>
      <c r="H109" t="s">
        <v>1385</v>
      </c>
      <c r="I109" t="s">
        <v>1386</v>
      </c>
      <c r="J109" t="str">
        <f>_xlfn.XLOOKUP(A109,Status!A:A,Status!B:B)</f>
        <v>NOT DELIVERED</v>
      </c>
      <c r="K109" s="1">
        <f>_xlfn.XLOOKUP(A109,Status!A:A,Status!C:C)</f>
        <v>41077</v>
      </c>
      <c r="L109" s="1">
        <f>_xlfn.XLOOKUP(A109,Status!A:A,Status!D:D)</f>
        <v>0</v>
      </c>
      <c r="M109" t="str">
        <f t="shared" si="9"/>
        <v>Light</v>
      </c>
      <c r="N109" t="str">
        <f t="shared" si="10"/>
        <v/>
      </c>
      <c r="O109" s="4">
        <f t="shared" si="11"/>
        <v>0.42031523642732049</v>
      </c>
    </row>
    <row r="110" spans="1:15" x14ac:dyDescent="0.25">
      <c r="A110">
        <v>665</v>
      </c>
      <c r="B110">
        <v>7485</v>
      </c>
      <c r="C110" t="s">
        <v>1243</v>
      </c>
      <c r="D110" t="s">
        <v>1192</v>
      </c>
      <c r="E110" t="s">
        <v>1193</v>
      </c>
      <c r="F110">
        <v>982</v>
      </c>
      <c r="G110">
        <v>1405</v>
      </c>
      <c r="H110" t="s">
        <v>1387</v>
      </c>
      <c r="I110" t="s">
        <v>1388</v>
      </c>
      <c r="J110" t="str">
        <f>_xlfn.XLOOKUP(A110,Status!A:A,Status!B:B)</f>
        <v>DELIVERED</v>
      </c>
      <c r="K110" s="1">
        <f>_xlfn.XLOOKUP(A110,Status!A:A,Status!C:C)</f>
        <v>40190</v>
      </c>
      <c r="L110" s="1">
        <f>_xlfn.XLOOKUP(A110,Status!A:A,Status!D:D)</f>
        <v>40295</v>
      </c>
      <c r="M110" t="str">
        <f t="shared" si="9"/>
        <v>Heavy</v>
      </c>
      <c r="N110">
        <f t="shared" si="10"/>
        <v>105</v>
      </c>
      <c r="O110" s="4">
        <f t="shared" si="11"/>
        <v>0.69893238434163696</v>
      </c>
    </row>
    <row r="111" spans="1:15" x14ac:dyDescent="0.25">
      <c r="A111">
        <v>305</v>
      </c>
      <c r="B111">
        <v>1748</v>
      </c>
      <c r="C111" t="s">
        <v>1220</v>
      </c>
      <c r="D111" t="s">
        <v>1192</v>
      </c>
      <c r="E111" t="s">
        <v>1197</v>
      </c>
      <c r="F111">
        <v>954</v>
      </c>
      <c r="G111">
        <v>1473</v>
      </c>
      <c r="H111" t="s">
        <v>1389</v>
      </c>
      <c r="I111" t="s">
        <v>1390</v>
      </c>
      <c r="J111" t="str">
        <f>_xlfn.XLOOKUP(A111,Status!A:A,Status!B:B)</f>
        <v>DELIVERED</v>
      </c>
      <c r="K111" s="1">
        <f>_xlfn.XLOOKUP(A111,Status!A:A,Status!C:C)</f>
        <v>33827</v>
      </c>
      <c r="L111" s="1">
        <f>_xlfn.XLOOKUP(A111,Status!A:A,Status!D:D)</f>
        <v>33909</v>
      </c>
      <c r="M111" t="str">
        <f t="shared" si="9"/>
        <v>Heavy</v>
      </c>
      <c r="N111">
        <f t="shared" si="10"/>
        <v>82</v>
      </c>
      <c r="O111" s="4">
        <f t="shared" si="11"/>
        <v>0.64765784114052949</v>
      </c>
    </row>
    <row r="112" spans="1:15" x14ac:dyDescent="0.25">
      <c r="A112">
        <v>938</v>
      </c>
      <c r="B112">
        <v>9968</v>
      </c>
      <c r="C112" t="s">
        <v>1217</v>
      </c>
      <c r="D112" t="s">
        <v>1192</v>
      </c>
      <c r="E112" t="s">
        <v>1193</v>
      </c>
      <c r="F112">
        <v>35</v>
      </c>
      <c r="G112">
        <v>20</v>
      </c>
      <c r="H112" t="s">
        <v>860</v>
      </c>
      <c r="I112" t="s">
        <v>1391</v>
      </c>
      <c r="J112" t="str">
        <f>_xlfn.XLOOKUP(A112,Status!A:A,Status!B:B)</f>
        <v>NOT DELIVERED</v>
      </c>
      <c r="K112" s="1">
        <f>_xlfn.XLOOKUP(A112,Status!A:A,Status!C:C)</f>
        <v>43455</v>
      </c>
      <c r="L112" s="1">
        <f>_xlfn.XLOOKUP(A112,Status!A:A,Status!D:D)</f>
        <v>0</v>
      </c>
      <c r="M112" t="str">
        <f t="shared" si="9"/>
        <v>Light</v>
      </c>
      <c r="N112" t="str">
        <f t="shared" si="10"/>
        <v/>
      </c>
      <c r="O112" s="4">
        <f t="shared" si="11"/>
        <v>1.75</v>
      </c>
    </row>
    <row r="113" spans="1:15" x14ac:dyDescent="0.25">
      <c r="A113">
        <v>714</v>
      </c>
      <c r="B113">
        <v>5330</v>
      </c>
      <c r="C113" t="s">
        <v>1206</v>
      </c>
      <c r="D113" t="s">
        <v>1192</v>
      </c>
      <c r="E113" t="s">
        <v>1197</v>
      </c>
      <c r="F113">
        <v>148</v>
      </c>
      <c r="G113">
        <v>835</v>
      </c>
      <c r="H113" t="s">
        <v>1392</v>
      </c>
      <c r="I113" t="s">
        <v>1393</v>
      </c>
      <c r="J113" t="str">
        <f>_xlfn.XLOOKUP(A113,Status!A:A,Status!B:B)</f>
        <v>DELIVERED</v>
      </c>
      <c r="K113" s="1">
        <f>_xlfn.XLOOKUP(A113,Status!A:A,Status!C:C)</f>
        <v>40655</v>
      </c>
      <c r="L113" s="1">
        <f>_xlfn.XLOOKUP(A113,Status!A:A,Status!D:D)</f>
        <v>40702</v>
      </c>
      <c r="M113" t="str">
        <f t="shared" si="9"/>
        <v>Light</v>
      </c>
      <c r="N113">
        <f t="shared" si="10"/>
        <v>47</v>
      </c>
      <c r="O113" s="4">
        <f t="shared" si="11"/>
        <v>0.17724550898203592</v>
      </c>
    </row>
    <row r="114" spans="1:15" x14ac:dyDescent="0.25">
      <c r="A114">
        <v>251</v>
      </c>
      <c r="B114">
        <v>2183</v>
      </c>
      <c r="C114" t="s">
        <v>1209</v>
      </c>
      <c r="D114" t="s">
        <v>1196</v>
      </c>
      <c r="E114" t="s">
        <v>1193</v>
      </c>
      <c r="F114">
        <v>422</v>
      </c>
      <c r="G114">
        <v>651</v>
      </c>
      <c r="H114" t="s">
        <v>1394</v>
      </c>
      <c r="I114" t="s">
        <v>1395</v>
      </c>
      <c r="J114" t="str">
        <f>_xlfn.XLOOKUP(A114,Status!A:A,Status!B:B)</f>
        <v>DELIVERED</v>
      </c>
      <c r="K114" s="1">
        <f>_xlfn.XLOOKUP(A114,Status!A:A,Status!C:C)</f>
        <v>37919</v>
      </c>
      <c r="L114" s="1">
        <f>_xlfn.XLOOKUP(A114,Status!A:A,Status!D:D)</f>
        <v>37957</v>
      </c>
      <c r="M114" t="str">
        <f t="shared" si="9"/>
        <v>Light</v>
      </c>
      <c r="N114">
        <f t="shared" si="10"/>
        <v>38</v>
      </c>
      <c r="O114" s="4">
        <f t="shared" si="11"/>
        <v>0.64823348694316441</v>
      </c>
    </row>
    <row r="115" spans="1:15" x14ac:dyDescent="0.25">
      <c r="A115">
        <v>330</v>
      </c>
      <c r="B115">
        <v>2182</v>
      </c>
      <c r="C115" t="s">
        <v>1203</v>
      </c>
      <c r="D115" t="s">
        <v>1192</v>
      </c>
      <c r="E115" t="s">
        <v>1197</v>
      </c>
      <c r="F115">
        <v>275</v>
      </c>
      <c r="G115">
        <v>653</v>
      </c>
      <c r="H115" t="s">
        <v>1396</v>
      </c>
      <c r="I115" t="s">
        <v>1397</v>
      </c>
      <c r="J115" t="str">
        <f>_xlfn.XLOOKUP(A115,Status!A:A,Status!B:B)</f>
        <v>NOT DELIVERED</v>
      </c>
      <c r="K115" s="1">
        <f>_xlfn.XLOOKUP(A115,Status!A:A,Status!C:C)</f>
        <v>40947</v>
      </c>
      <c r="L115" s="1">
        <f>_xlfn.XLOOKUP(A115,Status!A:A,Status!D:D)</f>
        <v>0</v>
      </c>
      <c r="M115" t="str">
        <f t="shared" si="9"/>
        <v>Light</v>
      </c>
      <c r="N115" t="str">
        <f t="shared" si="10"/>
        <v/>
      </c>
      <c r="O115" s="4">
        <f t="shared" si="11"/>
        <v>0.42113323124042878</v>
      </c>
    </row>
    <row r="116" spans="1:15" x14ac:dyDescent="0.25">
      <c r="A116">
        <v>69</v>
      </c>
      <c r="B116">
        <v>1087</v>
      </c>
      <c r="C116" t="s">
        <v>1191</v>
      </c>
      <c r="D116" t="s">
        <v>1192</v>
      </c>
      <c r="E116" t="s">
        <v>1193</v>
      </c>
      <c r="F116">
        <v>367</v>
      </c>
      <c r="G116">
        <v>740</v>
      </c>
      <c r="H116" t="s">
        <v>473</v>
      </c>
      <c r="I116" t="s">
        <v>907</v>
      </c>
      <c r="J116" t="str">
        <f>_xlfn.XLOOKUP(A116,Status!A:A,Status!B:B)</f>
        <v>DELIVERED</v>
      </c>
      <c r="K116" s="1">
        <f>_xlfn.XLOOKUP(A116,Status!A:A,Status!C:C)</f>
        <v>43173</v>
      </c>
      <c r="L116" s="1">
        <f>_xlfn.XLOOKUP(A116,Status!A:A,Status!D:D)</f>
        <v>43342</v>
      </c>
      <c r="M116" t="str">
        <f t="shared" si="9"/>
        <v>Light</v>
      </c>
      <c r="N116">
        <f t="shared" si="10"/>
        <v>169</v>
      </c>
      <c r="O116" s="4">
        <f t="shared" si="11"/>
        <v>0.49594594594594593</v>
      </c>
    </row>
    <row r="117" spans="1:15" x14ac:dyDescent="0.25">
      <c r="A117">
        <v>969</v>
      </c>
      <c r="B117">
        <v>4296</v>
      </c>
      <c r="C117" t="s">
        <v>1215</v>
      </c>
      <c r="D117" t="s">
        <v>1196</v>
      </c>
      <c r="E117" t="s">
        <v>1197</v>
      </c>
      <c r="F117">
        <v>507</v>
      </c>
      <c r="G117">
        <v>1334</v>
      </c>
      <c r="H117" t="s">
        <v>1398</v>
      </c>
      <c r="I117" t="s">
        <v>1399</v>
      </c>
      <c r="J117" t="str">
        <f>_xlfn.XLOOKUP(A117,Status!A:A,Status!B:B)</f>
        <v>DELIVERED</v>
      </c>
      <c r="K117" s="1">
        <f>_xlfn.XLOOKUP(A117,Status!A:A,Status!C:C)</f>
        <v>41352</v>
      </c>
      <c r="L117" s="1">
        <f>_xlfn.XLOOKUP(A117,Status!A:A,Status!D:D)</f>
        <v>41342</v>
      </c>
      <c r="M117" t="str">
        <f t="shared" si="9"/>
        <v>Heavy</v>
      </c>
      <c r="N117">
        <f t="shared" si="10"/>
        <v>10</v>
      </c>
      <c r="O117" s="4">
        <f t="shared" si="11"/>
        <v>0.38005997001499248</v>
      </c>
    </row>
    <row r="118" spans="1:15" x14ac:dyDescent="0.25">
      <c r="A118">
        <v>974</v>
      </c>
      <c r="B118">
        <v>9784</v>
      </c>
      <c r="C118" t="s">
        <v>1220</v>
      </c>
      <c r="D118" t="s">
        <v>1196</v>
      </c>
      <c r="E118" t="s">
        <v>1193</v>
      </c>
      <c r="F118">
        <v>442</v>
      </c>
      <c r="G118">
        <v>770</v>
      </c>
      <c r="H118" t="s">
        <v>655</v>
      </c>
      <c r="I118" t="s">
        <v>1400</v>
      </c>
      <c r="J118" t="str">
        <f>_xlfn.XLOOKUP(A118,Status!A:A,Status!B:B)</f>
        <v>DELIVERED</v>
      </c>
      <c r="K118" s="1">
        <f>_xlfn.XLOOKUP(A118,Status!A:A,Status!C:C)</f>
        <v>41387</v>
      </c>
      <c r="L118" s="1">
        <f>_xlfn.XLOOKUP(A118,Status!A:A,Status!D:D)</f>
        <v>41446</v>
      </c>
      <c r="M118" t="str">
        <f t="shared" si="9"/>
        <v>Light</v>
      </c>
      <c r="N118">
        <f t="shared" si="10"/>
        <v>59</v>
      </c>
      <c r="O118" s="4">
        <f t="shared" si="11"/>
        <v>0.574025974025974</v>
      </c>
    </row>
    <row r="119" spans="1:15" x14ac:dyDescent="0.25">
      <c r="A119">
        <v>526</v>
      </c>
      <c r="B119">
        <v>6210</v>
      </c>
      <c r="C119" t="s">
        <v>1243</v>
      </c>
      <c r="D119" t="s">
        <v>1196</v>
      </c>
      <c r="E119" t="s">
        <v>1193</v>
      </c>
      <c r="F119">
        <v>510</v>
      </c>
      <c r="G119">
        <v>1205</v>
      </c>
      <c r="H119" t="s">
        <v>1401</v>
      </c>
      <c r="I119" t="s">
        <v>1402</v>
      </c>
      <c r="J119" t="str">
        <f>_xlfn.XLOOKUP(A119,Status!A:A,Status!B:B)</f>
        <v>DELIVERED</v>
      </c>
      <c r="K119" s="1">
        <f>_xlfn.XLOOKUP(A119,Status!A:A,Status!C:C)</f>
        <v>33279</v>
      </c>
      <c r="L119" s="1">
        <f>_xlfn.XLOOKUP(A119,Status!A:A,Status!D:D)</f>
        <v>33422</v>
      </c>
      <c r="M119" t="str">
        <f t="shared" si="9"/>
        <v>Heavy</v>
      </c>
      <c r="N119">
        <f t="shared" si="10"/>
        <v>143</v>
      </c>
      <c r="O119" s="4">
        <f t="shared" si="11"/>
        <v>0.42323651452282157</v>
      </c>
    </row>
    <row r="120" spans="1:15" x14ac:dyDescent="0.25">
      <c r="A120">
        <v>510</v>
      </c>
      <c r="B120">
        <v>5781</v>
      </c>
      <c r="C120" t="s">
        <v>1212</v>
      </c>
      <c r="D120" t="s">
        <v>1196</v>
      </c>
      <c r="E120" t="s">
        <v>1193</v>
      </c>
      <c r="F120">
        <v>117</v>
      </c>
      <c r="G120">
        <v>716</v>
      </c>
      <c r="H120" t="s">
        <v>438</v>
      </c>
      <c r="I120" t="s">
        <v>1403</v>
      </c>
      <c r="J120" t="str">
        <f>_xlfn.XLOOKUP(A120,Status!A:A,Status!B:B)</f>
        <v>NOT DELIVERED</v>
      </c>
      <c r="K120" s="1">
        <f>_xlfn.XLOOKUP(A120,Status!A:A,Status!C:C)</f>
        <v>28037</v>
      </c>
      <c r="L120" s="1">
        <f>_xlfn.XLOOKUP(A120,Status!A:A,Status!D:D)</f>
        <v>0</v>
      </c>
      <c r="M120" t="str">
        <f t="shared" si="9"/>
        <v>Light</v>
      </c>
      <c r="N120" t="str">
        <f t="shared" si="10"/>
        <v/>
      </c>
      <c r="O120" s="4">
        <f t="shared" si="11"/>
        <v>0.16340782122905029</v>
      </c>
    </row>
    <row r="121" spans="1:15" x14ac:dyDescent="0.25">
      <c r="A121">
        <v>444</v>
      </c>
      <c r="B121">
        <v>8306</v>
      </c>
      <c r="C121" t="s">
        <v>1232</v>
      </c>
      <c r="D121" t="s">
        <v>1192</v>
      </c>
      <c r="E121" t="s">
        <v>1197</v>
      </c>
      <c r="F121">
        <v>973</v>
      </c>
      <c r="G121">
        <v>1250</v>
      </c>
      <c r="H121" t="s">
        <v>1404</v>
      </c>
      <c r="I121" t="s">
        <v>1405</v>
      </c>
      <c r="J121" t="str">
        <f>_xlfn.XLOOKUP(A121,Status!A:A,Status!B:B)</f>
        <v>NOT DELIVERED</v>
      </c>
      <c r="K121" s="1">
        <f>_xlfn.XLOOKUP(A121,Status!A:A,Status!C:C)</f>
        <v>32075</v>
      </c>
      <c r="L121" s="1">
        <f>_xlfn.XLOOKUP(A121,Status!A:A,Status!D:D)</f>
        <v>0</v>
      </c>
      <c r="M121" t="str">
        <f t="shared" si="9"/>
        <v>Heavy</v>
      </c>
      <c r="N121" t="str">
        <f t="shared" si="10"/>
        <v/>
      </c>
      <c r="O121" s="4">
        <f t="shared" si="11"/>
        <v>0.77839999999999998</v>
      </c>
    </row>
    <row r="122" spans="1:15" x14ac:dyDescent="0.25">
      <c r="A122">
        <v>503</v>
      </c>
      <c r="B122">
        <v>3270</v>
      </c>
      <c r="C122" t="s">
        <v>1209</v>
      </c>
      <c r="D122" t="s">
        <v>1192</v>
      </c>
      <c r="E122" t="s">
        <v>1193</v>
      </c>
      <c r="F122">
        <v>243</v>
      </c>
      <c r="G122">
        <v>935</v>
      </c>
      <c r="H122" t="s">
        <v>1406</v>
      </c>
      <c r="I122" t="s">
        <v>748</v>
      </c>
      <c r="J122" t="str">
        <f>_xlfn.XLOOKUP(A122,Status!A:A,Status!B:B)</f>
        <v>DELIVERED</v>
      </c>
      <c r="K122" s="1">
        <f>_xlfn.XLOOKUP(A122,Status!A:A,Status!C:C)</f>
        <v>27114</v>
      </c>
      <c r="L122" s="1">
        <f>_xlfn.XLOOKUP(A122,Status!A:A,Status!D:D)</f>
        <v>27174</v>
      </c>
      <c r="M122" t="str">
        <f t="shared" si="9"/>
        <v>Light</v>
      </c>
      <c r="N122">
        <f t="shared" si="10"/>
        <v>60</v>
      </c>
      <c r="O122" s="4">
        <f t="shared" si="11"/>
        <v>0.25989304812834224</v>
      </c>
    </row>
    <row r="123" spans="1:15" x14ac:dyDescent="0.25">
      <c r="A123">
        <v>109</v>
      </c>
      <c r="B123">
        <v>6787</v>
      </c>
      <c r="C123" t="s">
        <v>1200</v>
      </c>
      <c r="D123" t="s">
        <v>1192</v>
      </c>
      <c r="E123" t="s">
        <v>1197</v>
      </c>
      <c r="F123">
        <v>715</v>
      </c>
      <c r="G123">
        <v>1185</v>
      </c>
      <c r="H123" t="s">
        <v>473</v>
      </c>
      <c r="I123" t="s">
        <v>1407</v>
      </c>
      <c r="J123" t="str">
        <f>_xlfn.XLOOKUP(A123,Status!A:A,Status!B:B)</f>
        <v>NOT DELIVERED</v>
      </c>
      <c r="K123" s="1">
        <f>_xlfn.XLOOKUP(A123,Status!A:A,Status!C:C)</f>
        <v>41777</v>
      </c>
      <c r="L123" s="1">
        <f>_xlfn.XLOOKUP(A123,Status!A:A,Status!D:D)</f>
        <v>0</v>
      </c>
      <c r="M123" t="str">
        <f t="shared" si="9"/>
        <v>Heavy</v>
      </c>
      <c r="N123" t="str">
        <f t="shared" si="10"/>
        <v/>
      </c>
      <c r="O123" s="4">
        <f t="shared" si="11"/>
        <v>0.6033755274261603</v>
      </c>
    </row>
    <row r="124" spans="1:15" x14ac:dyDescent="0.25">
      <c r="A124">
        <v>823</v>
      </c>
      <c r="B124">
        <v>3733</v>
      </c>
      <c r="C124" t="s">
        <v>1191</v>
      </c>
      <c r="D124" t="s">
        <v>1192</v>
      </c>
      <c r="E124" t="s">
        <v>1197</v>
      </c>
      <c r="F124">
        <v>571</v>
      </c>
      <c r="G124">
        <v>1031</v>
      </c>
      <c r="H124" t="s">
        <v>270</v>
      </c>
      <c r="I124" t="s">
        <v>1408</v>
      </c>
      <c r="J124" t="str">
        <f>_xlfn.XLOOKUP(A124,Status!A:A,Status!B:B)</f>
        <v>DELIVERED</v>
      </c>
      <c r="K124" s="1">
        <f>_xlfn.XLOOKUP(A124,Status!A:A,Status!C:C)</f>
        <v>27532</v>
      </c>
      <c r="L124" s="1">
        <f>_xlfn.XLOOKUP(A124,Status!A:A,Status!D:D)</f>
        <v>27534</v>
      </c>
      <c r="M124" t="str">
        <f t="shared" si="9"/>
        <v>Heavy</v>
      </c>
      <c r="N124">
        <f t="shared" si="10"/>
        <v>2</v>
      </c>
      <c r="O124" s="4">
        <f t="shared" si="11"/>
        <v>0.55383123181377303</v>
      </c>
    </row>
    <row r="125" spans="1:15" x14ac:dyDescent="0.25">
      <c r="A125">
        <v>147</v>
      </c>
      <c r="B125">
        <v>207</v>
      </c>
      <c r="C125" t="s">
        <v>1215</v>
      </c>
      <c r="D125" t="s">
        <v>1192</v>
      </c>
      <c r="E125" t="s">
        <v>1197</v>
      </c>
      <c r="F125">
        <v>369</v>
      </c>
      <c r="G125">
        <v>646</v>
      </c>
      <c r="H125" t="s">
        <v>441</v>
      </c>
      <c r="I125" t="s">
        <v>1409</v>
      </c>
      <c r="J125" t="str">
        <f>_xlfn.XLOOKUP(A125,Status!A:A,Status!B:B)</f>
        <v>DELIVERED</v>
      </c>
      <c r="K125" s="1">
        <f>_xlfn.XLOOKUP(A125,Status!A:A,Status!C:C)</f>
        <v>38431</v>
      </c>
      <c r="L125" s="1">
        <f>_xlfn.XLOOKUP(A125,Status!A:A,Status!D:D)</f>
        <v>38610</v>
      </c>
      <c r="M125" t="str">
        <f t="shared" si="9"/>
        <v>Light</v>
      </c>
      <c r="N125">
        <f t="shared" si="10"/>
        <v>179</v>
      </c>
      <c r="O125" s="4">
        <f t="shared" si="11"/>
        <v>0.57120743034055732</v>
      </c>
    </row>
    <row r="126" spans="1:15" x14ac:dyDescent="0.25">
      <c r="A126">
        <v>625</v>
      </c>
      <c r="B126">
        <v>3</v>
      </c>
      <c r="C126" t="s">
        <v>1215</v>
      </c>
      <c r="D126" t="s">
        <v>1196</v>
      </c>
      <c r="E126" t="s">
        <v>1193</v>
      </c>
      <c r="F126">
        <v>318</v>
      </c>
      <c r="G126">
        <v>980</v>
      </c>
      <c r="H126" t="s">
        <v>1410</v>
      </c>
      <c r="I126" t="s">
        <v>1411</v>
      </c>
      <c r="J126" t="str">
        <f>_xlfn.XLOOKUP(A126,Status!A:A,Status!B:B)</f>
        <v>NOT DELIVERED</v>
      </c>
      <c r="K126" s="1">
        <f>_xlfn.XLOOKUP(A126,Status!A:A,Status!C:C)</f>
        <v>43376</v>
      </c>
      <c r="L126" s="1">
        <f>_xlfn.XLOOKUP(A126,Status!A:A,Status!D:D)</f>
        <v>0</v>
      </c>
      <c r="M126" t="str">
        <f t="shared" si="9"/>
        <v>Light</v>
      </c>
      <c r="N126" t="str">
        <f t="shared" si="10"/>
        <v/>
      </c>
      <c r="O126" s="4">
        <f t="shared" si="11"/>
        <v>0.32448979591836735</v>
      </c>
    </row>
    <row r="127" spans="1:15" x14ac:dyDescent="0.25">
      <c r="A127">
        <v>695</v>
      </c>
      <c r="B127">
        <v>1896</v>
      </c>
      <c r="C127" t="s">
        <v>1209</v>
      </c>
      <c r="D127" t="s">
        <v>1192</v>
      </c>
      <c r="E127" t="s">
        <v>1193</v>
      </c>
      <c r="F127">
        <v>266</v>
      </c>
      <c r="G127">
        <v>833</v>
      </c>
      <c r="H127" t="s">
        <v>473</v>
      </c>
      <c r="I127" t="s">
        <v>1412</v>
      </c>
      <c r="J127" t="str">
        <f>_xlfn.XLOOKUP(A127,Status!A:A,Status!B:B)</f>
        <v>NOT DELIVERED</v>
      </c>
      <c r="K127" s="1">
        <f>_xlfn.XLOOKUP(A127,Status!A:A,Status!C:C)</f>
        <v>41542</v>
      </c>
      <c r="L127" s="1">
        <f>_xlfn.XLOOKUP(A127,Status!A:A,Status!D:D)</f>
        <v>0</v>
      </c>
      <c r="M127" t="str">
        <f t="shared" si="9"/>
        <v>Light</v>
      </c>
      <c r="N127" t="str">
        <f t="shared" si="10"/>
        <v/>
      </c>
      <c r="O127" s="4">
        <f t="shared" si="11"/>
        <v>0.31932773109243695</v>
      </c>
    </row>
    <row r="128" spans="1:15" x14ac:dyDescent="0.25">
      <c r="A128">
        <v>983</v>
      </c>
      <c r="B128">
        <v>9631</v>
      </c>
      <c r="C128" t="s">
        <v>1203</v>
      </c>
      <c r="D128" t="s">
        <v>1196</v>
      </c>
      <c r="E128" t="s">
        <v>1193</v>
      </c>
      <c r="F128">
        <v>60</v>
      </c>
      <c r="G128">
        <v>166</v>
      </c>
      <c r="H128" t="s">
        <v>1413</v>
      </c>
      <c r="I128" t="s">
        <v>1414</v>
      </c>
      <c r="J128" t="str">
        <f>_xlfn.XLOOKUP(A128,Status!A:A,Status!B:B)</f>
        <v>NOT DELIVERED</v>
      </c>
      <c r="K128" s="1">
        <f>_xlfn.XLOOKUP(A128,Status!A:A,Status!C:C)</f>
        <v>34159</v>
      </c>
      <c r="L128" s="1">
        <f>_xlfn.XLOOKUP(A128,Status!A:A,Status!D:D)</f>
        <v>0</v>
      </c>
      <c r="M128" t="str">
        <f t="shared" si="9"/>
        <v>Light</v>
      </c>
      <c r="N128" t="str">
        <f t="shared" si="10"/>
        <v/>
      </c>
      <c r="O128" s="4">
        <f t="shared" si="11"/>
        <v>0.36144578313253012</v>
      </c>
    </row>
    <row r="129" spans="1:15" x14ac:dyDescent="0.25">
      <c r="A129">
        <v>82</v>
      </c>
      <c r="B129">
        <v>3132</v>
      </c>
      <c r="C129" t="s">
        <v>1200</v>
      </c>
      <c r="D129" t="s">
        <v>1196</v>
      </c>
      <c r="E129" t="s">
        <v>1197</v>
      </c>
      <c r="F129">
        <v>121</v>
      </c>
      <c r="G129">
        <v>557</v>
      </c>
      <c r="H129" t="s">
        <v>1415</v>
      </c>
      <c r="I129" t="s">
        <v>1416</v>
      </c>
      <c r="J129" t="str">
        <f>_xlfn.XLOOKUP(A129,Status!A:A,Status!B:B)</f>
        <v>NOT DELIVERED</v>
      </c>
      <c r="K129" s="1">
        <f>_xlfn.XLOOKUP(A129,Status!A:A,Status!C:C)</f>
        <v>35579</v>
      </c>
      <c r="L129" s="1">
        <f>_xlfn.XLOOKUP(A129,Status!A:A,Status!D:D)</f>
        <v>0</v>
      </c>
      <c r="M129" t="str">
        <f t="shared" si="9"/>
        <v>Light</v>
      </c>
      <c r="N129" t="str">
        <f t="shared" si="10"/>
        <v/>
      </c>
      <c r="O129" s="4">
        <f t="shared" si="11"/>
        <v>0.21723518850987433</v>
      </c>
    </row>
    <row r="130" spans="1:15" x14ac:dyDescent="0.25">
      <c r="A130">
        <v>397</v>
      </c>
      <c r="B130">
        <v>1202</v>
      </c>
      <c r="C130" t="s">
        <v>1220</v>
      </c>
      <c r="D130" t="s">
        <v>1196</v>
      </c>
      <c r="E130" t="s">
        <v>1197</v>
      </c>
      <c r="F130">
        <v>876</v>
      </c>
      <c r="G130">
        <v>1045</v>
      </c>
      <c r="H130" t="s">
        <v>1417</v>
      </c>
      <c r="I130" t="s">
        <v>1418</v>
      </c>
      <c r="J130" t="str">
        <f>_xlfn.XLOOKUP(A130,Status!A:A,Status!B:B)</f>
        <v>NOT DELIVERED</v>
      </c>
      <c r="K130" s="1">
        <f>_xlfn.XLOOKUP(A130,Status!A:A,Status!C:C)</f>
        <v>38046</v>
      </c>
      <c r="L130" s="1">
        <f>_xlfn.XLOOKUP(A130,Status!A:A,Status!D:D)</f>
        <v>0</v>
      </c>
      <c r="M130" t="str">
        <f t="shared" ref="M130:M161" si="12">IF(F130&gt;500,"Heavy","Light")</f>
        <v>Heavy</v>
      </c>
      <c r="N130" t="str">
        <f t="shared" ref="N130:N161" si="13">IF(OR(L130=0,K130=0),"",ABS(L130-K130))</f>
        <v/>
      </c>
      <c r="O130" s="4">
        <f t="shared" ref="O130:O161" si="14">F130/G130</f>
        <v>0.83827751196172251</v>
      </c>
    </row>
    <row r="131" spans="1:15" x14ac:dyDescent="0.25">
      <c r="A131">
        <v>599</v>
      </c>
      <c r="B131">
        <v>8834</v>
      </c>
      <c r="C131" t="s">
        <v>1215</v>
      </c>
      <c r="D131" t="s">
        <v>1192</v>
      </c>
      <c r="E131" t="s">
        <v>1193</v>
      </c>
      <c r="F131">
        <v>946</v>
      </c>
      <c r="G131">
        <v>1100</v>
      </c>
      <c r="H131" t="s">
        <v>262</v>
      </c>
      <c r="I131" t="s">
        <v>552</v>
      </c>
      <c r="J131" t="str">
        <f>_xlfn.XLOOKUP(A131,Status!A:A,Status!B:B)</f>
        <v>NOT DELIVERED</v>
      </c>
      <c r="K131" s="1">
        <f>_xlfn.XLOOKUP(A131,Status!A:A,Status!C:C)</f>
        <v>37134</v>
      </c>
      <c r="L131" s="1">
        <f>_xlfn.XLOOKUP(A131,Status!A:A,Status!D:D)</f>
        <v>0</v>
      </c>
      <c r="M131" t="str">
        <f t="shared" si="12"/>
        <v>Heavy</v>
      </c>
      <c r="N131" t="str">
        <f t="shared" si="13"/>
        <v/>
      </c>
      <c r="O131" s="4">
        <f t="shared" si="14"/>
        <v>0.86</v>
      </c>
    </row>
    <row r="132" spans="1:15" x14ac:dyDescent="0.25">
      <c r="A132">
        <v>306</v>
      </c>
      <c r="B132">
        <v>1201</v>
      </c>
      <c r="C132" t="s">
        <v>1217</v>
      </c>
      <c r="D132" t="s">
        <v>1192</v>
      </c>
      <c r="E132" t="s">
        <v>1193</v>
      </c>
      <c r="F132">
        <v>654</v>
      </c>
      <c r="G132">
        <v>1150</v>
      </c>
      <c r="H132" t="s">
        <v>296</v>
      </c>
      <c r="I132" t="s">
        <v>1419</v>
      </c>
      <c r="J132" t="str">
        <f>_xlfn.XLOOKUP(A132,Status!A:A,Status!B:B)</f>
        <v>DELIVERED</v>
      </c>
      <c r="K132" s="1">
        <f>_xlfn.XLOOKUP(A132,Status!A:A,Status!C:C)</f>
        <v>30344</v>
      </c>
      <c r="L132" s="1">
        <f>_xlfn.XLOOKUP(A132,Status!A:A,Status!D:D)</f>
        <v>30519</v>
      </c>
      <c r="M132" t="str">
        <f t="shared" si="12"/>
        <v>Heavy</v>
      </c>
      <c r="N132">
        <f t="shared" si="13"/>
        <v>175</v>
      </c>
      <c r="O132" s="4">
        <f t="shared" si="14"/>
        <v>0.56869565217391305</v>
      </c>
    </row>
    <row r="133" spans="1:15" x14ac:dyDescent="0.25">
      <c r="A133">
        <v>536</v>
      </c>
      <c r="B133">
        <v>2573</v>
      </c>
      <c r="C133" t="s">
        <v>1232</v>
      </c>
      <c r="D133" t="s">
        <v>1192</v>
      </c>
      <c r="E133" t="s">
        <v>1197</v>
      </c>
      <c r="F133">
        <v>74</v>
      </c>
      <c r="G133">
        <v>281</v>
      </c>
      <c r="H133" t="s">
        <v>1420</v>
      </c>
      <c r="I133" t="s">
        <v>930</v>
      </c>
      <c r="J133" t="str">
        <f>_xlfn.XLOOKUP(A133,Status!A:A,Status!B:B)</f>
        <v>DELIVERED</v>
      </c>
      <c r="K133" s="1">
        <f>_xlfn.XLOOKUP(A133,Status!A:A,Status!C:C)</f>
        <v>42636</v>
      </c>
      <c r="L133" s="1">
        <f>_xlfn.XLOOKUP(A133,Status!A:A,Status!D:D)</f>
        <v>42634</v>
      </c>
      <c r="M133" t="str">
        <f t="shared" si="12"/>
        <v>Light</v>
      </c>
      <c r="N133">
        <f t="shared" si="13"/>
        <v>2</v>
      </c>
      <c r="O133" s="4">
        <f t="shared" si="14"/>
        <v>0.26334519572953735</v>
      </c>
    </row>
    <row r="134" spans="1:15" x14ac:dyDescent="0.25">
      <c r="A134">
        <v>20</v>
      </c>
      <c r="B134">
        <v>6759</v>
      </c>
      <c r="C134" t="s">
        <v>1232</v>
      </c>
      <c r="D134" t="s">
        <v>1192</v>
      </c>
      <c r="E134" t="s">
        <v>1193</v>
      </c>
      <c r="F134">
        <v>630</v>
      </c>
      <c r="G134">
        <v>1062</v>
      </c>
      <c r="H134" t="s">
        <v>1421</v>
      </c>
      <c r="I134" t="s">
        <v>1422</v>
      </c>
      <c r="J134" t="str">
        <f>_xlfn.XLOOKUP(A134,Status!A:A,Status!B:B)</f>
        <v>NOT DELIVERED</v>
      </c>
      <c r="K134" s="1">
        <f>_xlfn.XLOOKUP(A134,Status!A:A,Status!C:C)</f>
        <v>43007</v>
      </c>
      <c r="L134" s="1">
        <f>_xlfn.XLOOKUP(A134,Status!A:A,Status!D:D)</f>
        <v>0</v>
      </c>
      <c r="M134" t="str">
        <f t="shared" si="12"/>
        <v>Heavy</v>
      </c>
      <c r="N134" t="str">
        <f t="shared" si="13"/>
        <v/>
      </c>
      <c r="O134" s="4">
        <f t="shared" si="14"/>
        <v>0.59322033898305082</v>
      </c>
    </row>
    <row r="135" spans="1:15" x14ac:dyDescent="0.25">
      <c r="A135">
        <v>515</v>
      </c>
      <c r="B135">
        <v>2601</v>
      </c>
      <c r="C135" t="s">
        <v>1191</v>
      </c>
      <c r="D135" t="s">
        <v>1192</v>
      </c>
      <c r="E135" t="s">
        <v>1197</v>
      </c>
      <c r="F135">
        <v>782</v>
      </c>
      <c r="G135">
        <v>1425</v>
      </c>
      <c r="H135" t="s">
        <v>1423</v>
      </c>
      <c r="I135" t="s">
        <v>1424</v>
      </c>
      <c r="J135" t="str">
        <f>_xlfn.XLOOKUP(A135,Status!A:A,Status!B:B)</f>
        <v>NOT DELIVERED</v>
      </c>
      <c r="K135" s="1">
        <f>_xlfn.XLOOKUP(A135,Status!A:A,Status!C:C)</f>
        <v>35065</v>
      </c>
      <c r="L135" s="1">
        <f>_xlfn.XLOOKUP(A135,Status!A:A,Status!D:D)</f>
        <v>0</v>
      </c>
      <c r="M135" t="str">
        <f t="shared" si="12"/>
        <v>Heavy</v>
      </c>
      <c r="N135" t="str">
        <f t="shared" si="13"/>
        <v/>
      </c>
      <c r="O135" s="4">
        <f t="shared" si="14"/>
        <v>0.54877192982456136</v>
      </c>
    </row>
    <row r="136" spans="1:15" x14ac:dyDescent="0.25">
      <c r="A136">
        <v>332</v>
      </c>
      <c r="B136">
        <v>2656</v>
      </c>
      <c r="C136" t="s">
        <v>1200</v>
      </c>
      <c r="D136" t="s">
        <v>1196</v>
      </c>
      <c r="E136" t="s">
        <v>1193</v>
      </c>
      <c r="F136">
        <v>45</v>
      </c>
      <c r="G136">
        <v>39</v>
      </c>
      <c r="H136" t="s">
        <v>1425</v>
      </c>
      <c r="I136" t="s">
        <v>1426</v>
      </c>
      <c r="J136" t="str">
        <f>_xlfn.XLOOKUP(A136,Status!A:A,Status!B:B)</f>
        <v>NOT DELIVERED</v>
      </c>
      <c r="K136" s="1">
        <f>_xlfn.XLOOKUP(A136,Status!A:A,Status!C:C)</f>
        <v>39705</v>
      </c>
      <c r="L136" s="1">
        <f>_xlfn.XLOOKUP(A136,Status!A:A,Status!D:D)</f>
        <v>0</v>
      </c>
      <c r="M136" t="str">
        <f t="shared" si="12"/>
        <v>Light</v>
      </c>
      <c r="N136" t="str">
        <f t="shared" si="13"/>
        <v/>
      </c>
      <c r="O136" s="4">
        <f t="shared" si="14"/>
        <v>1.1538461538461537</v>
      </c>
    </row>
    <row r="137" spans="1:15" x14ac:dyDescent="0.25">
      <c r="A137">
        <v>127</v>
      </c>
      <c r="B137">
        <v>9645</v>
      </c>
      <c r="C137" t="s">
        <v>1200</v>
      </c>
      <c r="D137" t="s">
        <v>1196</v>
      </c>
      <c r="E137" t="s">
        <v>1197</v>
      </c>
      <c r="F137">
        <v>916</v>
      </c>
      <c r="G137">
        <v>1143</v>
      </c>
      <c r="H137" t="s">
        <v>1427</v>
      </c>
      <c r="I137" t="s">
        <v>1428</v>
      </c>
      <c r="J137" t="str">
        <f>_xlfn.XLOOKUP(A137,Status!A:A,Status!B:B)</f>
        <v>DELIVERED</v>
      </c>
      <c r="K137" s="1">
        <f>_xlfn.XLOOKUP(A137,Status!A:A,Status!C:C)</f>
        <v>38725</v>
      </c>
      <c r="L137" s="1">
        <f>_xlfn.XLOOKUP(A137,Status!A:A,Status!D:D)</f>
        <v>38726</v>
      </c>
      <c r="M137" t="str">
        <f t="shared" si="12"/>
        <v>Heavy</v>
      </c>
      <c r="N137">
        <f t="shared" si="13"/>
        <v>1</v>
      </c>
      <c r="O137" s="4">
        <f t="shared" si="14"/>
        <v>0.80139982502187224</v>
      </c>
    </row>
    <row r="138" spans="1:15" x14ac:dyDescent="0.25">
      <c r="A138">
        <v>958</v>
      </c>
      <c r="B138">
        <v>584</v>
      </c>
      <c r="C138" t="s">
        <v>1217</v>
      </c>
      <c r="D138" t="s">
        <v>1196</v>
      </c>
      <c r="E138" t="s">
        <v>1197</v>
      </c>
      <c r="F138">
        <v>274</v>
      </c>
      <c r="G138">
        <v>669</v>
      </c>
      <c r="H138" t="s">
        <v>1429</v>
      </c>
      <c r="I138" t="s">
        <v>1430</v>
      </c>
      <c r="J138" t="str">
        <f>_xlfn.XLOOKUP(A138,Status!A:A,Status!B:B)</f>
        <v>NOT DELIVERED</v>
      </c>
      <c r="K138" s="1">
        <f>_xlfn.XLOOKUP(A138,Status!A:A,Status!C:C)</f>
        <v>42424</v>
      </c>
      <c r="L138" s="1">
        <f>_xlfn.XLOOKUP(A138,Status!A:A,Status!D:D)</f>
        <v>0</v>
      </c>
      <c r="M138" t="str">
        <f t="shared" si="12"/>
        <v>Light</v>
      </c>
      <c r="N138" t="str">
        <f t="shared" si="13"/>
        <v/>
      </c>
      <c r="O138" s="4">
        <f t="shared" si="14"/>
        <v>0.40956651718983555</v>
      </c>
    </row>
    <row r="139" spans="1:15" x14ac:dyDescent="0.25">
      <c r="A139">
        <v>42</v>
      </c>
      <c r="B139">
        <v>2121</v>
      </c>
      <c r="C139" t="s">
        <v>1243</v>
      </c>
      <c r="D139" t="s">
        <v>1192</v>
      </c>
      <c r="E139" t="s">
        <v>1193</v>
      </c>
      <c r="F139">
        <v>987</v>
      </c>
      <c r="G139">
        <v>1134</v>
      </c>
      <c r="H139" t="s">
        <v>1431</v>
      </c>
      <c r="I139" t="s">
        <v>1432</v>
      </c>
      <c r="J139" t="str">
        <f>_xlfn.XLOOKUP(A139,Status!A:A,Status!B:B)</f>
        <v>DELIVERED</v>
      </c>
      <c r="K139" s="1">
        <f>_xlfn.XLOOKUP(A139,Status!A:A,Status!C:C)</f>
        <v>28875</v>
      </c>
      <c r="L139" s="1">
        <f>_xlfn.XLOOKUP(A139,Status!A:A,Status!D:D)</f>
        <v>29110</v>
      </c>
      <c r="M139" t="str">
        <f t="shared" si="12"/>
        <v>Heavy</v>
      </c>
      <c r="N139">
        <f t="shared" si="13"/>
        <v>235</v>
      </c>
      <c r="O139" s="4">
        <f t="shared" si="14"/>
        <v>0.87037037037037035</v>
      </c>
    </row>
    <row r="140" spans="1:15" x14ac:dyDescent="0.25">
      <c r="A140">
        <v>977</v>
      </c>
      <c r="B140">
        <v>2142</v>
      </c>
      <c r="C140" t="s">
        <v>1243</v>
      </c>
      <c r="D140" t="s">
        <v>1196</v>
      </c>
      <c r="E140" t="s">
        <v>1193</v>
      </c>
      <c r="F140">
        <v>434</v>
      </c>
      <c r="G140">
        <v>558</v>
      </c>
      <c r="H140" t="s">
        <v>1433</v>
      </c>
      <c r="I140" t="s">
        <v>1238</v>
      </c>
      <c r="J140" t="str">
        <f>_xlfn.XLOOKUP(A140,Status!A:A,Status!B:B)</f>
        <v>DELIVERED</v>
      </c>
      <c r="K140" s="1">
        <f>_xlfn.XLOOKUP(A140,Status!A:A,Status!C:C)</f>
        <v>37290</v>
      </c>
      <c r="L140" s="1">
        <f>_xlfn.XLOOKUP(A140,Status!A:A,Status!D:D)</f>
        <v>37549</v>
      </c>
      <c r="M140" t="str">
        <f t="shared" si="12"/>
        <v>Light</v>
      </c>
      <c r="N140">
        <f t="shared" si="13"/>
        <v>259</v>
      </c>
      <c r="O140" s="4">
        <f t="shared" si="14"/>
        <v>0.77777777777777779</v>
      </c>
    </row>
    <row r="141" spans="1:15" x14ac:dyDescent="0.25">
      <c r="A141">
        <v>460</v>
      </c>
      <c r="B141">
        <v>2396</v>
      </c>
      <c r="C141" t="s">
        <v>1206</v>
      </c>
      <c r="D141" t="s">
        <v>1196</v>
      </c>
      <c r="E141" t="s">
        <v>1197</v>
      </c>
      <c r="F141">
        <v>897</v>
      </c>
      <c r="G141">
        <v>1313</v>
      </c>
      <c r="H141" t="s">
        <v>490</v>
      </c>
      <c r="I141" t="s">
        <v>1307</v>
      </c>
      <c r="J141" t="str">
        <f>_xlfn.XLOOKUP(A141,Status!A:A,Status!B:B)</f>
        <v>DELIVERED</v>
      </c>
      <c r="K141" s="1">
        <f>_xlfn.XLOOKUP(A141,Status!A:A,Status!C:C)</f>
        <v>38458</v>
      </c>
      <c r="L141" s="1">
        <f>_xlfn.XLOOKUP(A141,Status!A:A,Status!D:D)</f>
        <v>38610</v>
      </c>
      <c r="M141" t="str">
        <f t="shared" si="12"/>
        <v>Heavy</v>
      </c>
      <c r="N141">
        <f t="shared" si="13"/>
        <v>152</v>
      </c>
      <c r="O141" s="4">
        <f t="shared" si="14"/>
        <v>0.68316831683168322</v>
      </c>
    </row>
    <row r="142" spans="1:15" x14ac:dyDescent="0.25">
      <c r="A142">
        <v>659</v>
      </c>
      <c r="B142">
        <v>8747</v>
      </c>
      <c r="C142" t="s">
        <v>1220</v>
      </c>
      <c r="D142" t="s">
        <v>1196</v>
      </c>
      <c r="E142" t="s">
        <v>1193</v>
      </c>
      <c r="F142">
        <v>442</v>
      </c>
      <c r="G142">
        <v>595</v>
      </c>
      <c r="H142" t="s">
        <v>1434</v>
      </c>
      <c r="I142" t="s">
        <v>1435</v>
      </c>
      <c r="J142" t="str">
        <f>_xlfn.XLOOKUP(A142,Status!A:A,Status!B:B)</f>
        <v>DELIVERED</v>
      </c>
      <c r="K142" s="1">
        <f>_xlfn.XLOOKUP(A142,Status!A:A,Status!C:C)</f>
        <v>35847</v>
      </c>
      <c r="L142" s="1">
        <f>_xlfn.XLOOKUP(A142,Status!A:A,Status!D:D)</f>
        <v>36049</v>
      </c>
      <c r="M142" t="str">
        <f t="shared" si="12"/>
        <v>Light</v>
      </c>
      <c r="N142">
        <f t="shared" si="13"/>
        <v>202</v>
      </c>
      <c r="O142" s="4">
        <f t="shared" si="14"/>
        <v>0.74285714285714288</v>
      </c>
    </row>
    <row r="143" spans="1:15" x14ac:dyDescent="0.25">
      <c r="A143">
        <v>197</v>
      </c>
      <c r="B143">
        <v>4142</v>
      </c>
      <c r="C143" t="s">
        <v>1209</v>
      </c>
      <c r="D143" t="s">
        <v>1192</v>
      </c>
      <c r="E143" t="s">
        <v>1197</v>
      </c>
      <c r="F143">
        <v>98</v>
      </c>
      <c r="G143">
        <v>360</v>
      </c>
      <c r="H143" t="s">
        <v>1436</v>
      </c>
      <c r="I143" t="s">
        <v>1437</v>
      </c>
      <c r="J143" t="str">
        <f>_xlfn.XLOOKUP(A143,Status!A:A,Status!B:B)</f>
        <v>DELIVERED</v>
      </c>
      <c r="K143" s="1">
        <f>_xlfn.XLOOKUP(A143,Status!A:A,Status!C:C)</f>
        <v>32596</v>
      </c>
      <c r="L143" s="1">
        <f>_xlfn.XLOOKUP(A143,Status!A:A,Status!D:D)</f>
        <v>32743</v>
      </c>
      <c r="M143" t="str">
        <f t="shared" si="12"/>
        <v>Light</v>
      </c>
      <c r="N143">
        <f t="shared" si="13"/>
        <v>147</v>
      </c>
      <c r="O143" s="4">
        <f t="shared" si="14"/>
        <v>0.2722222222222222</v>
      </c>
    </row>
    <row r="144" spans="1:15" x14ac:dyDescent="0.25">
      <c r="A144">
        <v>540</v>
      </c>
      <c r="B144">
        <v>9770</v>
      </c>
      <c r="C144" t="s">
        <v>1200</v>
      </c>
      <c r="D144" t="s">
        <v>1196</v>
      </c>
      <c r="E144" t="s">
        <v>1197</v>
      </c>
      <c r="F144">
        <v>431</v>
      </c>
      <c r="G144">
        <v>934</v>
      </c>
      <c r="H144" t="s">
        <v>1438</v>
      </c>
      <c r="I144" t="s">
        <v>655</v>
      </c>
      <c r="J144" t="str">
        <f>_xlfn.XLOOKUP(A144,Status!A:A,Status!B:B)</f>
        <v>DELIVERED</v>
      </c>
      <c r="K144" s="1">
        <f>_xlfn.XLOOKUP(A144,Status!A:A,Status!C:C)</f>
        <v>28236</v>
      </c>
      <c r="L144" s="1">
        <f>_xlfn.XLOOKUP(A144,Status!A:A,Status!D:D)</f>
        <v>28437</v>
      </c>
      <c r="M144" t="str">
        <f t="shared" si="12"/>
        <v>Light</v>
      </c>
      <c r="N144">
        <f t="shared" si="13"/>
        <v>201</v>
      </c>
      <c r="O144" s="4">
        <f t="shared" si="14"/>
        <v>0.4614561027837259</v>
      </c>
    </row>
    <row r="145" spans="1:15" x14ac:dyDescent="0.25">
      <c r="A145">
        <v>178</v>
      </c>
      <c r="B145">
        <v>2593</v>
      </c>
      <c r="C145" t="s">
        <v>1232</v>
      </c>
      <c r="D145" t="s">
        <v>1196</v>
      </c>
      <c r="E145" t="s">
        <v>1197</v>
      </c>
      <c r="F145">
        <v>745</v>
      </c>
      <c r="G145">
        <v>1383</v>
      </c>
      <c r="H145" t="s">
        <v>1439</v>
      </c>
      <c r="I145" t="s">
        <v>1440</v>
      </c>
      <c r="J145" t="str">
        <f>_xlfn.XLOOKUP(A145,Status!A:A,Status!B:B)</f>
        <v>DELIVERED</v>
      </c>
      <c r="K145" s="1">
        <f>_xlfn.XLOOKUP(A145,Status!A:A,Status!C:C)</f>
        <v>39814</v>
      </c>
      <c r="L145" s="1">
        <f>_xlfn.XLOOKUP(A145,Status!A:A,Status!D:D)</f>
        <v>39839</v>
      </c>
      <c r="M145" t="str">
        <f t="shared" si="12"/>
        <v>Heavy</v>
      </c>
      <c r="N145">
        <f t="shared" si="13"/>
        <v>25</v>
      </c>
      <c r="O145" s="4">
        <f t="shared" si="14"/>
        <v>0.53868402024584239</v>
      </c>
    </row>
    <row r="146" spans="1:15" x14ac:dyDescent="0.25">
      <c r="A146">
        <v>202</v>
      </c>
      <c r="B146">
        <v>9807</v>
      </c>
      <c r="C146" t="s">
        <v>1203</v>
      </c>
      <c r="D146" t="s">
        <v>1196</v>
      </c>
      <c r="E146" t="s">
        <v>1197</v>
      </c>
      <c r="F146">
        <v>871</v>
      </c>
      <c r="G146">
        <v>1274</v>
      </c>
      <c r="H146" t="s">
        <v>1435</v>
      </c>
      <c r="I146" t="s">
        <v>1253</v>
      </c>
      <c r="J146" t="str">
        <f>_xlfn.XLOOKUP(A146,Status!A:A,Status!B:B)</f>
        <v>DELIVERED</v>
      </c>
      <c r="K146" s="1">
        <f>_xlfn.XLOOKUP(A146,Status!A:A,Status!C:C)</f>
        <v>36918</v>
      </c>
      <c r="L146" s="1">
        <f>_xlfn.XLOOKUP(A146,Status!A:A,Status!D:D)</f>
        <v>37106</v>
      </c>
      <c r="M146" t="str">
        <f t="shared" si="12"/>
        <v>Heavy</v>
      </c>
      <c r="N146">
        <f t="shared" si="13"/>
        <v>188</v>
      </c>
      <c r="O146" s="4">
        <f t="shared" si="14"/>
        <v>0.68367346938775508</v>
      </c>
    </row>
    <row r="147" spans="1:15" x14ac:dyDescent="0.25">
      <c r="A147">
        <v>632</v>
      </c>
      <c r="B147">
        <v>2525</v>
      </c>
      <c r="C147" t="s">
        <v>1215</v>
      </c>
      <c r="D147" t="s">
        <v>1192</v>
      </c>
      <c r="E147" t="s">
        <v>1193</v>
      </c>
      <c r="F147">
        <v>67</v>
      </c>
      <c r="G147">
        <v>193</v>
      </c>
      <c r="H147" t="s">
        <v>124</v>
      </c>
      <c r="I147" t="s">
        <v>1441</v>
      </c>
      <c r="J147" t="str">
        <f>_xlfn.XLOOKUP(A147,Status!A:A,Status!B:B)</f>
        <v>DELIVERED</v>
      </c>
      <c r="K147" s="1">
        <f>_xlfn.XLOOKUP(A147,Status!A:A,Status!C:C)</f>
        <v>33842</v>
      </c>
      <c r="L147" s="1">
        <f>_xlfn.XLOOKUP(A147,Status!A:A,Status!D:D)</f>
        <v>33963</v>
      </c>
      <c r="M147" t="str">
        <f t="shared" si="12"/>
        <v>Light</v>
      </c>
      <c r="N147">
        <f t="shared" si="13"/>
        <v>121</v>
      </c>
      <c r="O147" s="4">
        <f t="shared" si="14"/>
        <v>0.34715025906735753</v>
      </c>
    </row>
    <row r="148" spans="1:15" x14ac:dyDescent="0.25">
      <c r="A148">
        <v>25</v>
      </c>
      <c r="B148">
        <v>1724</v>
      </c>
      <c r="C148" t="s">
        <v>1203</v>
      </c>
      <c r="D148" t="s">
        <v>1192</v>
      </c>
      <c r="E148" t="s">
        <v>1197</v>
      </c>
      <c r="F148">
        <v>431</v>
      </c>
      <c r="G148">
        <v>702</v>
      </c>
      <c r="H148" t="s">
        <v>1442</v>
      </c>
      <c r="I148" t="s">
        <v>1443</v>
      </c>
      <c r="J148" t="str">
        <f>_xlfn.XLOOKUP(A148,Status!A:A,Status!B:B)</f>
        <v>DELIVERED</v>
      </c>
      <c r="K148" s="1">
        <f>_xlfn.XLOOKUP(A148,Status!A:A,Status!C:C)</f>
        <v>38136</v>
      </c>
      <c r="L148" s="1">
        <f>_xlfn.XLOOKUP(A148,Status!A:A,Status!D:D)</f>
        <v>38124</v>
      </c>
      <c r="M148" t="str">
        <f t="shared" si="12"/>
        <v>Light</v>
      </c>
      <c r="N148">
        <f t="shared" si="13"/>
        <v>12</v>
      </c>
      <c r="O148" s="4">
        <f t="shared" si="14"/>
        <v>0.61396011396011396</v>
      </c>
    </row>
    <row r="149" spans="1:15" x14ac:dyDescent="0.25">
      <c r="A149">
        <v>990</v>
      </c>
      <c r="B149">
        <v>7146</v>
      </c>
      <c r="C149" t="s">
        <v>1232</v>
      </c>
      <c r="D149" t="s">
        <v>1196</v>
      </c>
      <c r="E149" t="s">
        <v>1193</v>
      </c>
      <c r="F149">
        <v>178</v>
      </c>
      <c r="G149">
        <v>646</v>
      </c>
      <c r="H149" t="s">
        <v>1444</v>
      </c>
      <c r="I149" t="s">
        <v>1445</v>
      </c>
      <c r="J149" t="str">
        <f>_xlfn.XLOOKUP(A149,Status!A:A,Status!B:B)</f>
        <v>DELIVERED</v>
      </c>
      <c r="K149" s="1">
        <f>_xlfn.XLOOKUP(A149,Status!A:A,Status!C:C)</f>
        <v>37759</v>
      </c>
      <c r="L149" s="1">
        <f>_xlfn.XLOOKUP(A149,Status!A:A,Status!D:D)</f>
        <v>37953</v>
      </c>
      <c r="M149" t="str">
        <f t="shared" si="12"/>
        <v>Light</v>
      </c>
      <c r="N149">
        <f t="shared" si="13"/>
        <v>194</v>
      </c>
      <c r="O149" s="4">
        <f t="shared" si="14"/>
        <v>0.27554179566563469</v>
      </c>
    </row>
    <row r="150" spans="1:15" x14ac:dyDescent="0.25">
      <c r="A150">
        <v>913</v>
      </c>
      <c r="B150">
        <v>563</v>
      </c>
      <c r="C150" t="s">
        <v>1203</v>
      </c>
      <c r="D150" t="s">
        <v>1192</v>
      </c>
      <c r="E150" t="s">
        <v>1197</v>
      </c>
      <c r="F150">
        <v>180</v>
      </c>
      <c r="G150">
        <v>755</v>
      </c>
      <c r="H150" t="s">
        <v>1446</v>
      </c>
      <c r="I150" t="s">
        <v>1447</v>
      </c>
      <c r="J150" t="str">
        <f>_xlfn.XLOOKUP(A150,Status!A:A,Status!B:B)</f>
        <v>NOT DELIVERED</v>
      </c>
      <c r="K150" s="1">
        <f>_xlfn.XLOOKUP(A150,Status!A:A,Status!C:C)</f>
        <v>27157</v>
      </c>
      <c r="L150" s="1">
        <f>_xlfn.XLOOKUP(A150,Status!A:A,Status!D:D)</f>
        <v>0</v>
      </c>
      <c r="M150" t="str">
        <f t="shared" si="12"/>
        <v>Light</v>
      </c>
      <c r="N150" t="str">
        <f t="shared" si="13"/>
        <v/>
      </c>
      <c r="O150" s="4">
        <f t="shared" si="14"/>
        <v>0.23841059602649006</v>
      </c>
    </row>
    <row r="151" spans="1:15" x14ac:dyDescent="0.25">
      <c r="A151">
        <v>371</v>
      </c>
      <c r="B151">
        <v>7771</v>
      </c>
      <c r="C151" t="s">
        <v>1243</v>
      </c>
      <c r="D151" t="s">
        <v>1192</v>
      </c>
      <c r="E151" t="s">
        <v>1197</v>
      </c>
      <c r="F151">
        <v>280</v>
      </c>
      <c r="G151">
        <v>990</v>
      </c>
      <c r="H151" t="s">
        <v>813</v>
      </c>
      <c r="I151" t="s">
        <v>1448</v>
      </c>
      <c r="J151" t="str">
        <f>_xlfn.XLOOKUP(A151,Status!A:A,Status!B:B)</f>
        <v>NOT DELIVERED</v>
      </c>
      <c r="K151" s="1">
        <f>_xlfn.XLOOKUP(A151,Status!A:A,Status!C:C)</f>
        <v>27578</v>
      </c>
      <c r="L151" s="1">
        <f>_xlfn.XLOOKUP(A151,Status!A:A,Status!D:D)</f>
        <v>0</v>
      </c>
      <c r="M151" t="str">
        <f t="shared" si="12"/>
        <v>Light</v>
      </c>
      <c r="N151" t="str">
        <f t="shared" si="13"/>
        <v/>
      </c>
      <c r="O151" s="4">
        <f t="shared" si="14"/>
        <v>0.28282828282828282</v>
      </c>
    </row>
    <row r="152" spans="1:15" x14ac:dyDescent="0.25">
      <c r="A152">
        <v>514</v>
      </c>
      <c r="B152">
        <v>4789</v>
      </c>
      <c r="C152" t="s">
        <v>1217</v>
      </c>
      <c r="D152" t="s">
        <v>1192</v>
      </c>
      <c r="E152" t="s">
        <v>1197</v>
      </c>
      <c r="F152">
        <v>263</v>
      </c>
      <c r="G152">
        <v>965</v>
      </c>
      <c r="H152" t="s">
        <v>1449</v>
      </c>
      <c r="I152" t="s">
        <v>587</v>
      </c>
      <c r="J152" t="str">
        <f>_xlfn.XLOOKUP(A152,Status!A:A,Status!B:B)</f>
        <v>NOT DELIVERED</v>
      </c>
      <c r="K152" s="1">
        <f>_xlfn.XLOOKUP(A152,Status!A:A,Status!C:C)</f>
        <v>30089</v>
      </c>
      <c r="L152" s="1">
        <f>_xlfn.XLOOKUP(A152,Status!A:A,Status!D:D)</f>
        <v>0</v>
      </c>
      <c r="M152" t="str">
        <f t="shared" si="12"/>
        <v>Light</v>
      </c>
      <c r="N152" t="str">
        <f t="shared" si="13"/>
        <v/>
      </c>
      <c r="O152" s="4">
        <f t="shared" si="14"/>
        <v>0.27253886010362693</v>
      </c>
    </row>
    <row r="153" spans="1:15" x14ac:dyDescent="0.25">
      <c r="A153">
        <v>707</v>
      </c>
      <c r="B153">
        <v>3221</v>
      </c>
      <c r="C153" t="s">
        <v>1220</v>
      </c>
      <c r="D153" t="s">
        <v>1192</v>
      </c>
      <c r="E153" t="s">
        <v>1193</v>
      </c>
      <c r="F153">
        <v>187</v>
      </c>
      <c r="G153">
        <v>931</v>
      </c>
      <c r="H153" t="s">
        <v>1450</v>
      </c>
      <c r="I153" t="s">
        <v>1451</v>
      </c>
      <c r="J153" t="str">
        <f>_xlfn.XLOOKUP(A153,Status!A:A,Status!B:B)</f>
        <v>NOT DELIVERED</v>
      </c>
      <c r="K153" s="1">
        <f>_xlfn.XLOOKUP(A153,Status!A:A,Status!C:C)</f>
        <v>39252</v>
      </c>
      <c r="L153" s="1">
        <f>_xlfn.XLOOKUP(A153,Status!A:A,Status!D:D)</f>
        <v>0</v>
      </c>
      <c r="M153" t="str">
        <f t="shared" si="12"/>
        <v>Light</v>
      </c>
      <c r="N153" t="str">
        <f t="shared" si="13"/>
        <v/>
      </c>
      <c r="O153" s="4">
        <f t="shared" si="14"/>
        <v>0.20085929108485501</v>
      </c>
    </row>
    <row r="154" spans="1:15" x14ac:dyDescent="0.25">
      <c r="A154">
        <v>473</v>
      </c>
      <c r="B154">
        <v>5197</v>
      </c>
      <c r="C154" t="s">
        <v>1243</v>
      </c>
      <c r="D154" t="s">
        <v>1196</v>
      </c>
      <c r="E154" t="s">
        <v>1193</v>
      </c>
      <c r="F154">
        <v>94</v>
      </c>
      <c r="G154">
        <v>361</v>
      </c>
      <c r="H154" t="s">
        <v>1452</v>
      </c>
      <c r="I154" t="s">
        <v>1453</v>
      </c>
      <c r="J154" t="str">
        <f>_xlfn.XLOOKUP(A154,Status!A:A,Status!B:B)</f>
        <v>DELIVERED</v>
      </c>
      <c r="K154" s="1">
        <f>_xlfn.XLOOKUP(A154,Status!A:A,Status!C:C)</f>
        <v>40933</v>
      </c>
      <c r="L154" s="1">
        <f>_xlfn.XLOOKUP(A154,Status!A:A,Status!D:D)</f>
        <v>40925</v>
      </c>
      <c r="M154" t="str">
        <f t="shared" si="12"/>
        <v>Light</v>
      </c>
      <c r="N154">
        <f t="shared" si="13"/>
        <v>8</v>
      </c>
      <c r="O154" s="4">
        <f t="shared" si="14"/>
        <v>0.26038781163434904</v>
      </c>
    </row>
    <row r="155" spans="1:15" x14ac:dyDescent="0.25">
      <c r="A155">
        <v>847</v>
      </c>
      <c r="B155">
        <v>8183</v>
      </c>
      <c r="C155" t="s">
        <v>1212</v>
      </c>
      <c r="D155" t="s">
        <v>1196</v>
      </c>
      <c r="E155" t="s">
        <v>1197</v>
      </c>
      <c r="F155">
        <v>906</v>
      </c>
      <c r="G155">
        <v>1297</v>
      </c>
      <c r="H155" t="s">
        <v>1454</v>
      </c>
      <c r="I155" t="s">
        <v>1455</v>
      </c>
      <c r="J155" t="str">
        <f>_xlfn.XLOOKUP(A155,Status!A:A,Status!B:B)</f>
        <v>NOT DELIVERED</v>
      </c>
      <c r="K155" s="1">
        <f>_xlfn.XLOOKUP(A155,Status!A:A,Status!C:C)</f>
        <v>30423</v>
      </c>
      <c r="L155" s="1">
        <f>_xlfn.XLOOKUP(A155,Status!A:A,Status!D:D)</f>
        <v>0</v>
      </c>
      <c r="M155" t="str">
        <f t="shared" si="12"/>
        <v>Heavy</v>
      </c>
      <c r="N155" t="str">
        <f t="shared" si="13"/>
        <v/>
      </c>
      <c r="O155" s="4">
        <f t="shared" si="14"/>
        <v>0.69853508095605243</v>
      </c>
    </row>
    <row r="156" spans="1:15" x14ac:dyDescent="0.25">
      <c r="A156">
        <v>815</v>
      </c>
      <c r="B156">
        <v>1126</v>
      </c>
      <c r="C156" t="s">
        <v>1191</v>
      </c>
      <c r="D156" t="s">
        <v>1196</v>
      </c>
      <c r="E156" t="s">
        <v>1193</v>
      </c>
      <c r="F156">
        <v>71</v>
      </c>
      <c r="G156">
        <v>130</v>
      </c>
      <c r="H156" t="s">
        <v>1456</v>
      </c>
      <c r="I156" t="s">
        <v>1457</v>
      </c>
      <c r="J156" t="str">
        <f>_xlfn.XLOOKUP(A156,Status!A:A,Status!B:B)</f>
        <v>DELIVERED</v>
      </c>
      <c r="K156" s="1">
        <f>_xlfn.XLOOKUP(A156,Status!A:A,Status!C:C)</f>
        <v>40208</v>
      </c>
      <c r="L156" s="1">
        <f>_xlfn.XLOOKUP(A156,Status!A:A,Status!D:D)</f>
        <v>40239</v>
      </c>
      <c r="M156" t="str">
        <f t="shared" si="12"/>
        <v>Light</v>
      </c>
      <c r="N156">
        <f t="shared" si="13"/>
        <v>31</v>
      </c>
      <c r="O156" s="4">
        <f t="shared" si="14"/>
        <v>0.5461538461538461</v>
      </c>
    </row>
    <row r="157" spans="1:15" x14ac:dyDescent="0.25">
      <c r="A157">
        <v>928</v>
      </c>
      <c r="B157">
        <v>4899</v>
      </c>
      <c r="C157" t="s">
        <v>1217</v>
      </c>
      <c r="D157" t="s">
        <v>1196</v>
      </c>
      <c r="E157" t="s">
        <v>1197</v>
      </c>
      <c r="F157">
        <v>253</v>
      </c>
      <c r="G157">
        <v>904</v>
      </c>
      <c r="H157" t="s">
        <v>715</v>
      </c>
      <c r="I157" t="s">
        <v>715</v>
      </c>
      <c r="J157" t="str">
        <f>_xlfn.XLOOKUP(A157,Status!A:A,Status!B:B)</f>
        <v>NOT DELIVERED</v>
      </c>
      <c r="K157" s="1">
        <f>_xlfn.XLOOKUP(A157,Status!A:A,Status!C:C)</f>
        <v>26912</v>
      </c>
      <c r="L157" s="1">
        <f>_xlfn.XLOOKUP(A157,Status!A:A,Status!D:D)</f>
        <v>0</v>
      </c>
      <c r="M157" t="str">
        <f t="shared" si="12"/>
        <v>Light</v>
      </c>
      <c r="N157" t="str">
        <f t="shared" si="13"/>
        <v/>
      </c>
      <c r="O157" s="4">
        <f t="shared" si="14"/>
        <v>0.27986725663716816</v>
      </c>
    </row>
    <row r="158" spans="1:15" x14ac:dyDescent="0.25">
      <c r="A158">
        <v>210</v>
      </c>
      <c r="B158">
        <v>4732</v>
      </c>
      <c r="C158" t="s">
        <v>1203</v>
      </c>
      <c r="D158" t="s">
        <v>1196</v>
      </c>
      <c r="E158" t="s">
        <v>1197</v>
      </c>
      <c r="F158">
        <v>591</v>
      </c>
      <c r="G158">
        <v>1433</v>
      </c>
      <c r="H158" t="s">
        <v>1458</v>
      </c>
      <c r="I158" t="s">
        <v>429</v>
      </c>
      <c r="J158" t="str">
        <f>_xlfn.XLOOKUP(A158,Status!A:A,Status!B:B)</f>
        <v>NOT DELIVERED</v>
      </c>
      <c r="K158" s="1">
        <f>_xlfn.XLOOKUP(A158,Status!A:A,Status!C:C)</f>
        <v>38648</v>
      </c>
      <c r="L158" s="1">
        <f>_xlfn.XLOOKUP(A158,Status!A:A,Status!D:D)</f>
        <v>0</v>
      </c>
      <c r="M158" t="str">
        <f t="shared" si="12"/>
        <v>Heavy</v>
      </c>
      <c r="N158" t="str">
        <f t="shared" si="13"/>
        <v/>
      </c>
      <c r="O158" s="4">
        <f t="shared" si="14"/>
        <v>0.41242149337055128</v>
      </c>
    </row>
    <row r="159" spans="1:15" x14ac:dyDescent="0.25">
      <c r="A159">
        <v>793</v>
      </c>
      <c r="B159">
        <v>4103</v>
      </c>
      <c r="C159" t="s">
        <v>1220</v>
      </c>
      <c r="D159" t="s">
        <v>1192</v>
      </c>
      <c r="E159" t="s">
        <v>1193</v>
      </c>
      <c r="F159">
        <v>399</v>
      </c>
      <c r="G159">
        <v>835</v>
      </c>
      <c r="H159" t="s">
        <v>262</v>
      </c>
      <c r="I159" t="s">
        <v>183</v>
      </c>
      <c r="J159" t="str">
        <f>_xlfn.XLOOKUP(A159,Status!A:A,Status!B:B)</f>
        <v>NOT DELIVERED</v>
      </c>
      <c r="K159" s="1">
        <f>_xlfn.XLOOKUP(A159,Status!A:A,Status!C:C)</f>
        <v>35252</v>
      </c>
      <c r="L159" s="1">
        <f>_xlfn.XLOOKUP(A159,Status!A:A,Status!D:D)</f>
        <v>0</v>
      </c>
      <c r="M159" t="str">
        <f t="shared" si="12"/>
        <v>Light</v>
      </c>
      <c r="N159" t="str">
        <f t="shared" si="13"/>
        <v/>
      </c>
      <c r="O159" s="4">
        <f t="shared" si="14"/>
        <v>0.47784431137724553</v>
      </c>
    </row>
    <row r="160" spans="1:15" x14ac:dyDescent="0.25">
      <c r="A160">
        <v>872</v>
      </c>
      <c r="B160">
        <v>7861</v>
      </c>
      <c r="C160" t="s">
        <v>1220</v>
      </c>
      <c r="D160" t="s">
        <v>1196</v>
      </c>
      <c r="E160" t="s">
        <v>1197</v>
      </c>
      <c r="F160">
        <v>91</v>
      </c>
      <c r="G160">
        <v>242</v>
      </c>
      <c r="H160" t="s">
        <v>1459</v>
      </c>
      <c r="I160" t="s">
        <v>1333</v>
      </c>
      <c r="J160" t="str">
        <f>_xlfn.XLOOKUP(A160,Status!A:A,Status!B:B)</f>
        <v>DELIVERED</v>
      </c>
      <c r="K160" s="1">
        <f>_xlfn.XLOOKUP(A160,Status!A:A,Status!C:C)</f>
        <v>39589</v>
      </c>
      <c r="L160" s="1">
        <f>_xlfn.XLOOKUP(A160,Status!A:A,Status!D:D)</f>
        <v>39585</v>
      </c>
      <c r="M160" t="str">
        <f t="shared" si="12"/>
        <v>Light</v>
      </c>
      <c r="N160">
        <f t="shared" si="13"/>
        <v>4</v>
      </c>
      <c r="O160" s="4">
        <f t="shared" si="14"/>
        <v>0.37603305785123969</v>
      </c>
    </row>
    <row r="161" spans="1:15" x14ac:dyDescent="0.25">
      <c r="A161">
        <v>298</v>
      </c>
      <c r="B161">
        <v>7764</v>
      </c>
      <c r="C161" t="s">
        <v>1217</v>
      </c>
      <c r="D161" t="s">
        <v>1196</v>
      </c>
      <c r="E161" t="s">
        <v>1193</v>
      </c>
      <c r="F161">
        <v>717</v>
      </c>
      <c r="G161">
        <v>1297</v>
      </c>
      <c r="H161" t="s">
        <v>1460</v>
      </c>
      <c r="I161" t="s">
        <v>1461</v>
      </c>
      <c r="J161" t="str">
        <f>_xlfn.XLOOKUP(A161,Status!A:A,Status!B:B)</f>
        <v>NOT DELIVERED</v>
      </c>
      <c r="K161" s="1">
        <f>_xlfn.XLOOKUP(A161,Status!A:A,Status!C:C)</f>
        <v>28988</v>
      </c>
      <c r="L161" s="1">
        <f>_xlfn.XLOOKUP(A161,Status!A:A,Status!D:D)</f>
        <v>0</v>
      </c>
      <c r="M161" t="str">
        <f t="shared" si="12"/>
        <v>Heavy</v>
      </c>
      <c r="N161" t="str">
        <f t="shared" si="13"/>
        <v/>
      </c>
      <c r="O161" s="4">
        <f t="shared" si="14"/>
        <v>0.5528141865844256</v>
      </c>
    </row>
    <row r="162" spans="1:15" x14ac:dyDescent="0.25">
      <c r="A162">
        <v>941</v>
      </c>
      <c r="B162">
        <v>5345</v>
      </c>
      <c r="C162" t="s">
        <v>1209</v>
      </c>
      <c r="D162" t="s">
        <v>1196</v>
      </c>
      <c r="E162" t="s">
        <v>1193</v>
      </c>
      <c r="F162">
        <v>735</v>
      </c>
      <c r="G162">
        <v>1181</v>
      </c>
      <c r="H162" t="s">
        <v>1462</v>
      </c>
      <c r="I162" t="s">
        <v>1463</v>
      </c>
      <c r="J162" t="str">
        <f>_xlfn.XLOOKUP(A162,Status!A:A,Status!B:B)</f>
        <v>DELIVERED</v>
      </c>
      <c r="K162" s="1">
        <f>_xlfn.XLOOKUP(A162,Status!A:A,Status!C:C)</f>
        <v>40360</v>
      </c>
      <c r="L162" s="1">
        <f>_xlfn.XLOOKUP(A162,Status!A:A,Status!D:D)</f>
        <v>40418</v>
      </c>
      <c r="M162" t="str">
        <f t="shared" ref="M162:M193" si="15">IF(F162&gt;500,"Heavy","Light")</f>
        <v>Heavy</v>
      </c>
      <c r="N162">
        <f t="shared" ref="N162:N193" si="16">IF(OR(L162=0,K162=0),"",ABS(L162-K162))</f>
        <v>58</v>
      </c>
      <c r="O162" s="4">
        <f t="shared" ref="O162:O193" si="17">F162/G162</f>
        <v>0.62235393734123623</v>
      </c>
    </row>
    <row r="163" spans="1:15" x14ac:dyDescent="0.25">
      <c r="A163">
        <v>731</v>
      </c>
      <c r="B163">
        <v>6191</v>
      </c>
      <c r="C163" t="s">
        <v>1217</v>
      </c>
      <c r="D163" t="s">
        <v>1192</v>
      </c>
      <c r="E163" t="s">
        <v>1197</v>
      </c>
      <c r="F163">
        <v>970</v>
      </c>
      <c r="G163">
        <v>1242</v>
      </c>
      <c r="H163" t="s">
        <v>1464</v>
      </c>
      <c r="I163" t="s">
        <v>1465</v>
      </c>
      <c r="J163" t="str">
        <f>_xlfn.XLOOKUP(A163,Status!A:A,Status!B:B)</f>
        <v>NOT DELIVERED</v>
      </c>
      <c r="K163" s="1">
        <f>_xlfn.XLOOKUP(A163,Status!A:A,Status!C:C)</f>
        <v>30502</v>
      </c>
      <c r="L163" s="1">
        <f>_xlfn.XLOOKUP(A163,Status!A:A,Status!D:D)</f>
        <v>0</v>
      </c>
      <c r="M163" t="str">
        <f t="shared" si="15"/>
        <v>Heavy</v>
      </c>
      <c r="N163" t="str">
        <f t="shared" si="16"/>
        <v/>
      </c>
      <c r="O163" s="4">
        <f t="shared" si="17"/>
        <v>0.78099838969404189</v>
      </c>
    </row>
    <row r="164" spans="1:15" x14ac:dyDescent="0.25">
      <c r="A164">
        <v>500</v>
      </c>
      <c r="B164">
        <v>310</v>
      </c>
      <c r="C164" t="s">
        <v>1243</v>
      </c>
      <c r="D164" t="s">
        <v>1192</v>
      </c>
      <c r="E164" t="s">
        <v>1193</v>
      </c>
      <c r="F164">
        <v>80</v>
      </c>
      <c r="G164">
        <v>236</v>
      </c>
      <c r="H164" t="s">
        <v>1466</v>
      </c>
      <c r="I164" t="s">
        <v>1467</v>
      </c>
      <c r="J164" t="str">
        <f>_xlfn.XLOOKUP(A164,Status!A:A,Status!B:B)</f>
        <v>NOT DELIVERED</v>
      </c>
      <c r="K164" s="1">
        <f>_xlfn.XLOOKUP(A164,Status!A:A,Status!C:C)</f>
        <v>29407</v>
      </c>
      <c r="L164" s="1">
        <f>_xlfn.XLOOKUP(A164,Status!A:A,Status!D:D)</f>
        <v>0</v>
      </c>
      <c r="M164" t="str">
        <f t="shared" si="15"/>
        <v>Light</v>
      </c>
      <c r="N164" t="str">
        <f t="shared" si="16"/>
        <v/>
      </c>
      <c r="O164" s="4">
        <f t="shared" si="17"/>
        <v>0.33898305084745761</v>
      </c>
    </row>
    <row r="165" spans="1:15" x14ac:dyDescent="0.25">
      <c r="A165">
        <v>142</v>
      </c>
      <c r="B165">
        <v>3095</v>
      </c>
      <c r="C165" t="s">
        <v>1243</v>
      </c>
      <c r="D165" t="s">
        <v>1192</v>
      </c>
      <c r="E165" t="s">
        <v>1197</v>
      </c>
      <c r="F165">
        <v>550</v>
      </c>
      <c r="G165">
        <v>1171</v>
      </c>
      <c r="H165" t="s">
        <v>1461</v>
      </c>
      <c r="I165" t="s">
        <v>1468</v>
      </c>
      <c r="J165" t="str">
        <f>_xlfn.XLOOKUP(A165,Status!A:A,Status!B:B)</f>
        <v>NOT DELIVERED</v>
      </c>
      <c r="K165" s="1">
        <f>_xlfn.XLOOKUP(A165,Status!A:A,Status!C:C)</f>
        <v>30549</v>
      </c>
      <c r="L165" s="1">
        <f>_xlfn.XLOOKUP(A165,Status!A:A,Status!D:D)</f>
        <v>0</v>
      </c>
      <c r="M165" t="str">
        <f t="shared" si="15"/>
        <v>Heavy</v>
      </c>
      <c r="N165" t="str">
        <f t="shared" si="16"/>
        <v/>
      </c>
      <c r="O165" s="4">
        <f t="shared" si="17"/>
        <v>0.46968403074295473</v>
      </c>
    </row>
    <row r="166" spans="1:15" x14ac:dyDescent="0.25">
      <c r="A166">
        <v>787</v>
      </c>
      <c r="B166">
        <v>2159</v>
      </c>
      <c r="C166" t="s">
        <v>1243</v>
      </c>
      <c r="D166" t="s">
        <v>1196</v>
      </c>
      <c r="E166" t="s">
        <v>1197</v>
      </c>
      <c r="F166">
        <v>187</v>
      </c>
      <c r="G166">
        <v>864</v>
      </c>
      <c r="H166" t="s">
        <v>132</v>
      </c>
      <c r="I166" t="s">
        <v>1413</v>
      </c>
      <c r="J166" t="str">
        <f>_xlfn.XLOOKUP(A166,Status!A:A,Status!B:B)</f>
        <v>DELIVERED</v>
      </c>
      <c r="K166" s="1">
        <f>_xlfn.XLOOKUP(A166,Status!A:A,Status!C:C)</f>
        <v>40630</v>
      </c>
      <c r="L166" s="1">
        <f>_xlfn.XLOOKUP(A166,Status!A:A,Status!D:D)</f>
        <v>40719</v>
      </c>
      <c r="M166" t="str">
        <f t="shared" si="15"/>
        <v>Light</v>
      </c>
      <c r="N166">
        <f t="shared" si="16"/>
        <v>89</v>
      </c>
      <c r="O166" s="4">
        <f t="shared" si="17"/>
        <v>0.21643518518518517</v>
      </c>
    </row>
    <row r="167" spans="1:15" x14ac:dyDescent="0.25">
      <c r="A167">
        <v>749</v>
      </c>
      <c r="B167">
        <v>3569</v>
      </c>
      <c r="C167" t="s">
        <v>1220</v>
      </c>
      <c r="D167" t="s">
        <v>1196</v>
      </c>
      <c r="E167" t="s">
        <v>1197</v>
      </c>
      <c r="F167">
        <v>262</v>
      </c>
      <c r="G167">
        <v>875</v>
      </c>
      <c r="H167" t="s">
        <v>1469</v>
      </c>
      <c r="I167" t="s">
        <v>322</v>
      </c>
      <c r="J167" t="str">
        <f>_xlfn.XLOOKUP(A167,Status!A:A,Status!B:B)</f>
        <v>DELIVERED</v>
      </c>
      <c r="K167" s="1">
        <f>_xlfn.XLOOKUP(A167,Status!A:A,Status!C:C)</f>
        <v>41759</v>
      </c>
      <c r="L167" s="1">
        <f>_xlfn.XLOOKUP(A167,Status!A:A,Status!D:D)</f>
        <v>41822</v>
      </c>
      <c r="M167" t="str">
        <f t="shared" si="15"/>
        <v>Light</v>
      </c>
      <c r="N167">
        <f t="shared" si="16"/>
        <v>63</v>
      </c>
      <c r="O167" s="4">
        <f t="shared" si="17"/>
        <v>0.29942857142857143</v>
      </c>
    </row>
    <row r="168" spans="1:15" x14ac:dyDescent="0.25">
      <c r="A168">
        <v>304</v>
      </c>
      <c r="B168">
        <v>5958</v>
      </c>
      <c r="C168" t="s">
        <v>1209</v>
      </c>
      <c r="D168" t="s">
        <v>1192</v>
      </c>
      <c r="E168" t="s">
        <v>1193</v>
      </c>
      <c r="F168">
        <v>540</v>
      </c>
      <c r="G168">
        <v>1172</v>
      </c>
      <c r="H168" t="s">
        <v>1470</v>
      </c>
      <c r="I168" t="s">
        <v>1471</v>
      </c>
      <c r="J168" t="str">
        <f>_xlfn.XLOOKUP(A168,Status!A:A,Status!B:B)</f>
        <v>DELIVERED</v>
      </c>
      <c r="K168" s="1">
        <f>_xlfn.XLOOKUP(A168,Status!A:A,Status!C:C)</f>
        <v>38066</v>
      </c>
      <c r="L168" s="1">
        <f>_xlfn.XLOOKUP(A168,Status!A:A,Status!D:D)</f>
        <v>38255</v>
      </c>
      <c r="M168" t="str">
        <f t="shared" si="15"/>
        <v>Heavy</v>
      </c>
      <c r="N168">
        <f t="shared" si="16"/>
        <v>189</v>
      </c>
      <c r="O168" s="4">
        <f t="shared" si="17"/>
        <v>0.46075085324232085</v>
      </c>
    </row>
    <row r="169" spans="1:15" x14ac:dyDescent="0.25">
      <c r="A169">
        <v>30</v>
      </c>
      <c r="B169">
        <v>1275</v>
      </c>
      <c r="C169" t="s">
        <v>1212</v>
      </c>
      <c r="D169" t="s">
        <v>1192</v>
      </c>
      <c r="E169" t="s">
        <v>1193</v>
      </c>
      <c r="F169">
        <v>581</v>
      </c>
      <c r="G169">
        <v>1422</v>
      </c>
      <c r="H169" t="s">
        <v>1472</v>
      </c>
      <c r="I169" t="s">
        <v>517</v>
      </c>
      <c r="J169" t="str">
        <f>_xlfn.XLOOKUP(A169,Status!A:A,Status!B:B)</f>
        <v>DELIVERED</v>
      </c>
      <c r="K169" s="1">
        <f>_xlfn.XLOOKUP(A169,Status!A:A,Status!C:C)</f>
        <v>40228</v>
      </c>
      <c r="L169" s="1">
        <f>_xlfn.XLOOKUP(A169,Status!A:A,Status!D:D)</f>
        <v>40246</v>
      </c>
      <c r="M169" t="str">
        <f t="shared" si="15"/>
        <v>Heavy</v>
      </c>
      <c r="N169">
        <f t="shared" si="16"/>
        <v>18</v>
      </c>
      <c r="O169" s="4">
        <f t="shared" si="17"/>
        <v>0.40857946554149088</v>
      </c>
    </row>
    <row r="170" spans="1:15" x14ac:dyDescent="0.25">
      <c r="A170">
        <v>477</v>
      </c>
      <c r="B170">
        <v>6357</v>
      </c>
      <c r="C170" t="s">
        <v>1212</v>
      </c>
      <c r="D170" t="s">
        <v>1196</v>
      </c>
      <c r="E170" t="s">
        <v>1193</v>
      </c>
      <c r="F170">
        <v>840</v>
      </c>
      <c r="G170">
        <v>1061</v>
      </c>
      <c r="H170" t="s">
        <v>57</v>
      </c>
      <c r="I170" t="s">
        <v>1473</v>
      </c>
      <c r="J170" t="str">
        <f>_xlfn.XLOOKUP(A170,Status!A:A,Status!B:B)</f>
        <v>NOT DELIVERED</v>
      </c>
      <c r="K170" s="1">
        <f>_xlfn.XLOOKUP(A170,Status!A:A,Status!C:C)</f>
        <v>31662</v>
      </c>
      <c r="L170" s="1">
        <f>_xlfn.XLOOKUP(A170,Status!A:A,Status!D:D)</f>
        <v>0</v>
      </c>
      <c r="M170" t="str">
        <f t="shared" si="15"/>
        <v>Heavy</v>
      </c>
      <c r="N170" t="str">
        <f t="shared" si="16"/>
        <v/>
      </c>
      <c r="O170" s="4">
        <f t="shared" si="17"/>
        <v>0.79170593779453347</v>
      </c>
    </row>
    <row r="171" spans="1:15" x14ac:dyDescent="0.25">
      <c r="A171">
        <v>52</v>
      </c>
      <c r="B171">
        <v>4551</v>
      </c>
      <c r="C171" t="s">
        <v>1217</v>
      </c>
      <c r="D171" t="s">
        <v>1192</v>
      </c>
      <c r="E171" t="s">
        <v>1197</v>
      </c>
      <c r="F171">
        <v>873</v>
      </c>
      <c r="G171">
        <v>1199</v>
      </c>
      <c r="H171" t="s">
        <v>1474</v>
      </c>
      <c r="I171" t="s">
        <v>1475</v>
      </c>
      <c r="J171" t="str">
        <f>_xlfn.XLOOKUP(A171,Status!A:A,Status!B:B)</f>
        <v>NOT DELIVERED</v>
      </c>
      <c r="K171" s="1">
        <f>_xlfn.XLOOKUP(A171,Status!A:A,Status!C:C)</f>
        <v>42510</v>
      </c>
      <c r="L171" s="1">
        <f>_xlfn.XLOOKUP(A171,Status!A:A,Status!D:D)</f>
        <v>0</v>
      </c>
      <c r="M171" t="str">
        <f t="shared" si="15"/>
        <v>Heavy</v>
      </c>
      <c r="N171" t="str">
        <f t="shared" si="16"/>
        <v/>
      </c>
      <c r="O171" s="4">
        <f t="shared" si="17"/>
        <v>0.7281067556296914</v>
      </c>
    </row>
    <row r="172" spans="1:15" x14ac:dyDescent="0.25">
      <c r="A172">
        <v>73</v>
      </c>
      <c r="B172">
        <v>4252</v>
      </c>
      <c r="C172" t="s">
        <v>1203</v>
      </c>
      <c r="D172" t="s">
        <v>1192</v>
      </c>
      <c r="E172" t="s">
        <v>1197</v>
      </c>
      <c r="F172">
        <v>315</v>
      </c>
      <c r="G172">
        <v>937</v>
      </c>
      <c r="H172" t="s">
        <v>21</v>
      </c>
      <c r="I172" t="s">
        <v>1476</v>
      </c>
      <c r="J172" t="str">
        <f>_xlfn.XLOOKUP(A172,Status!A:A,Status!B:B)</f>
        <v>NOT DELIVERED</v>
      </c>
      <c r="K172" s="1">
        <f>_xlfn.XLOOKUP(A172,Status!A:A,Status!C:C)</f>
        <v>34034</v>
      </c>
      <c r="L172" s="1">
        <f>_xlfn.XLOOKUP(A172,Status!A:A,Status!D:D)</f>
        <v>0</v>
      </c>
      <c r="M172" t="str">
        <f t="shared" si="15"/>
        <v>Light</v>
      </c>
      <c r="N172" t="str">
        <f t="shared" si="16"/>
        <v/>
      </c>
      <c r="O172" s="4">
        <f t="shared" si="17"/>
        <v>0.33617929562433296</v>
      </c>
    </row>
    <row r="173" spans="1:15" x14ac:dyDescent="0.25">
      <c r="A173">
        <v>691</v>
      </c>
      <c r="B173">
        <v>2096</v>
      </c>
      <c r="C173" t="s">
        <v>1215</v>
      </c>
      <c r="D173" t="s">
        <v>1192</v>
      </c>
      <c r="E173" t="s">
        <v>1193</v>
      </c>
      <c r="F173">
        <v>955</v>
      </c>
      <c r="G173">
        <v>1369</v>
      </c>
      <c r="H173" t="s">
        <v>1477</v>
      </c>
      <c r="I173" t="s">
        <v>1478</v>
      </c>
      <c r="J173" t="str">
        <f>_xlfn.XLOOKUP(A173,Status!A:A,Status!B:B)</f>
        <v>DELIVERED</v>
      </c>
      <c r="K173" s="1">
        <f>_xlfn.XLOOKUP(A173,Status!A:A,Status!C:C)</f>
        <v>41031</v>
      </c>
      <c r="L173" s="1">
        <f>_xlfn.XLOOKUP(A173,Status!A:A,Status!D:D)</f>
        <v>41141</v>
      </c>
      <c r="M173" t="str">
        <f t="shared" si="15"/>
        <v>Heavy</v>
      </c>
      <c r="N173">
        <f t="shared" si="16"/>
        <v>110</v>
      </c>
      <c r="O173" s="4">
        <f t="shared" si="17"/>
        <v>0.69758948137326515</v>
      </c>
    </row>
    <row r="174" spans="1:15" x14ac:dyDescent="0.25">
      <c r="A174">
        <v>786</v>
      </c>
      <c r="B174">
        <v>5209</v>
      </c>
      <c r="C174" t="s">
        <v>1191</v>
      </c>
      <c r="D174" t="s">
        <v>1196</v>
      </c>
      <c r="E174" t="s">
        <v>1197</v>
      </c>
      <c r="F174">
        <v>372</v>
      </c>
      <c r="G174">
        <v>679</v>
      </c>
      <c r="H174" t="s">
        <v>1479</v>
      </c>
      <c r="I174" t="s">
        <v>1480</v>
      </c>
      <c r="J174" t="str">
        <f>_xlfn.XLOOKUP(A174,Status!A:A,Status!B:B)</f>
        <v>DELIVERED</v>
      </c>
      <c r="K174" s="1">
        <f>_xlfn.XLOOKUP(A174,Status!A:A,Status!C:C)</f>
        <v>27917</v>
      </c>
      <c r="L174" s="1">
        <f>_xlfn.XLOOKUP(A174,Status!A:A,Status!D:D)</f>
        <v>28003</v>
      </c>
      <c r="M174" t="str">
        <f t="shared" si="15"/>
        <v>Light</v>
      </c>
      <c r="N174">
        <f t="shared" si="16"/>
        <v>86</v>
      </c>
      <c r="O174" s="4">
        <f t="shared" si="17"/>
        <v>0.54786450662739328</v>
      </c>
    </row>
    <row r="175" spans="1:15" x14ac:dyDescent="0.25">
      <c r="A175">
        <v>68</v>
      </c>
      <c r="B175">
        <v>9271</v>
      </c>
      <c r="C175" t="s">
        <v>1243</v>
      </c>
      <c r="D175" t="s">
        <v>1192</v>
      </c>
      <c r="E175" t="s">
        <v>1197</v>
      </c>
      <c r="F175">
        <v>182</v>
      </c>
      <c r="G175">
        <v>726</v>
      </c>
      <c r="H175" t="s">
        <v>1237</v>
      </c>
      <c r="I175" t="s">
        <v>1481</v>
      </c>
      <c r="J175" t="str">
        <f>_xlfn.XLOOKUP(A175,Status!A:A,Status!B:B)</f>
        <v>NOT DELIVERED</v>
      </c>
      <c r="K175" s="1">
        <f>_xlfn.XLOOKUP(A175,Status!A:A,Status!C:C)</f>
        <v>38198</v>
      </c>
      <c r="L175" s="1">
        <f>_xlfn.XLOOKUP(A175,Status!A:A,Status!D:D)</f>
        <v>0</v>
      </c>
      <c r="M175" t="str">
        <f t="shared" si="15"/>
        <v>Light</v>
      </c>
      <c r="N175" t="str">
        <f t="shared" si="16"/>
        <v/>
      </c>
      <c r="O175" s="4">
        <f t="shared" si="17"/>
        <v>0.25068870523415976</v>
      </c>
    </row>
    <row r="176" spans="1:15" x14ac:dyDescent="0.25">
      <c r="A176">
        <v>630</v>
      </c>
      <c r="B176">
        <v>6772</v>
      </c>
      <c r="C176" t="s">
        <v>1217</v>
      </c>
      <c r="D176" t="s">
        <v>1192</v>
      </c>
      <c r="E176" t="s">
        <v>1193</v>
      </c>
      <c r="F176">
        <v>868</v>
      </c>
      <c r="G176">
        <v>1320</v>
      </c>
      <c r="H176" t="s">
        <v>1482</v>
      </c>
      <c r="I176" t="s">
        <v>14</v>
      </c>
      <c r="J176" t="str">
        <f>_xlfn.XLOOKUP(A176,Status!A:A,Status!B:B)</f>
        <v>DELIVERED</v>
      </c>
      <c r="K176" s="1">
        <f>_xlfn.XLOOKUP(A176,Status!A:A,Status!C:C)</f>
        <v>39867</v>
      </c>
      <c r="L176" s="1">
        <f>_xlfn.XLOOKUP(A176,Status!A:A,Status!D:D)</f>
        <v>40085</v>
      </c>
      <c r="M176" t="str">
        <f t="shared" si="15"/>
        <v>Heavy</v>
      </c>
      <c r="N176">
        <f t="shared" si="16"/>
        <v>218</v>
      </c>
      <c r="O176" s="4">
        <f t="shared" si="17"/>
        <v>0.65757575757575759</v>
      </c>
    </row>
    <row r="177" spans="1:15" x14ac:dyDescent="0.25">
      <c r="A177">
        <v>357</v>
      </c>
      <c r="B177">
        <v>4628</v>
      </c>
      <c r="C177" t="s">
        <v>1191</v>
      </c>
      <c r="D177" t="s">
        <v>1196</v>
      </c>
      <c r="E177" t="s">
        <v>1197</v>
      </c>
      <c r="F177">
        <v>777</v>
      </c>
      <c r="G177">
        <v>1113</v>
      </c>
      <c r="H177" t="s">
        <v>1483</v>
      </c>
      <c r="I177" t="s">
        <v>1484</v>
      </c>
      <c r="J177" t="str">
        <f>_xlfn.XLOOKUP(A177,Status!A:A,Status!B:B)</f>
        <v>NOT DELIVERED</v>
      </c>
      <c r="K177" s="1">
        <f>_xlfn.XLOOKUP(A177,Status!A:A,Status!C:C)</f>
        <v>33157</v>
      </c>
      <c r="L177" s="1">
        <f>_xlfn.XLOOKUP(A177,Status!A:A,Status!D:D)</f>
        <v>0</v>
      </c>
      <c r="M177" t="str">
        <f t="shared" si="15"/>
        <v>Heavy</v>
      </c>
      <c r="N177" t="str">
        <f t="shared" si="16"/>
        <v/>
      </c>
      <c r="O177" s="4">
        <f t="shared" si="17"/>
        <v>0.69811320754716977</v>
      </c>
    </row>
    <row r="178" spans="1:15" x14ac:dyDescent="0.25">
      <c r="A178">
        <v>455</v>
      </c>
      <c r="B178">
        <v>3853</v>
      </c>
      <c r="C178" t="s">
        <v>1232</v>
      </c>
      <c r="D178" t="s">
        <v>1196</v>
      </c>
      <c r="E178" t="s">
        <v>1193</v>
      </c>
      <c r="F178">
        <v>172</v>
      </c>
      <c r="G178">
        <v>580</v>
      </c>
      <c r="H178" t="s">
        <v>1485</v>
      </c>
      <c r="I178" t="s">
        <v>473</v>
      </c>
      <c r="J178" t="str">
        <f>_xlfn.XLOOKUP(A178,Status!A:A,Status!B:B)</f>
        <v>NOT DELIVERED</v>
      </c>
      <c r="K178" s="1">
        <f>_xlfn.XLOOKUP(A178,Status!A:A,Status!C:C)</f>
        <v>40824</v>
      </c>
      <c r="L178" s="1">
        <f>_xlfn.XLOOKUP(A178,Status!A:A,Status!D:D)</f>
        <v>0</v>
      </c>
      <c r="M178" t="str">
        <f t="shared" si="15"/>
        <v>Light</v>
      </c>
      <c r="N178" t="str">
        <f t="shared" si="16"/>
        <v/>
      </c>
      <c r="O178" s="4">
        <f t="shared" si="17"/>
        <v>0.29655172413793102</v>
      </c>
    </row>
    <row r="179" spans="1:15" x14ac:dyDescent="0.25">
      <c r="A179">
        <v>947</v>
      </c>
      <c r="B179">
        <v>515</v>
      </c>
      <c r="C179" t="s">
        <v>1212</v>
      </c>
      <c r="D179" t="s">
        <v>1196</v>
      </c>
      <c r="E179" t="s">
        <v>1197</v>
      </c>
      <c r="F179">
        <v>665</v>
      </c>
      <c r="G179">
        <v>1257</v>
      </c>
      <c r="H179" t="s">
        <v>1486</v>
      </c>
      <c r="I179" t="s">
        <v>1487</v>
      </c>
      <c r="J179" t="str">
        <f>_xlfn.XLOOKUP(A179,Status!A:A,Status!B:B)</f>
        <v>DELIVERED</v>
      </c>
      <c r="K179" s="1">
        <f>_xlfn.XLOOKUP(A179,Status!A:A,Status!C:C)</f>
        <v>31792</v>
      </c>
      <c r="L179" s="1">
        <f>_xlfn.XLOOKUP(A179,Status!A:A,Status!D:D)</f>
        <v>31897</v>
      </c>
      <c r="M179" t="str">
        <f t="shared" si="15"/>
        <v>Heavy</v>
      </c>
      <c r="N179">
        <f t="shared" si="16"/>
        <v>105</v>
      </c>
      <c r="O179" s="4">
        <f t="shared" si="17"/>
        <v>0.5290373906125696</v>
      </c>
    </row>
    <row r="180" spans="1:15" x14ac:dyDescent="0.25">
      <c r="A180">
        <v>589</v>
      </c>
      <c r="B180">
        <v>7513</v>
      </c>
      <c r="C180" t="s">
        <v>1243</v>
      </c>
      <c r="D180" t="s">
        <v>1196</v>
      </c>
      <c r="E180" t="s">
        <v>1197</v>
      </c>
      <c r="F180">
        <v>516</v>
      </c>
      <c r="G180">
        <v>1084</v>
      </c>
      <c r="H180" t="s">
        <v>1488</v>
      </c>
      <c r="I180" t="s">
        <v>1489</v>
      </c>
      <c r="J180" t="str">
        <f>_xlfn.XLOOKUP(A180,Status!A:A,Status!B:B)</f>
        <v>NOT DELIVERED</v>
      </c>
      <c r="K180" s="1">
        <f>_xlfn.XLOOKUP(A180,Status!A:A,Status!C:C)</f>
        <v>25970</v>
      </c>
      <c r="L180" s="1">
        <f>_xlfn.XLOOKUP(A180,Status!A:A,Status!D:D)</f>
        <v>0</v>
      </c>
      <c r="M180" t="str">
        <f t="shared" si="15"/>
        <v>Heavy</v>
      </c>
      <c r="N180" t="str">
        <f t="shared" si="16"/>
        <v/>
      </c>
      <c r="O180" s="4">
        <f t="shared" si="17"/>
        <v>0.47601476014760147</v>
      </c>
    </row>
    <row r="181" spans="1:15" x14ac:dyDescent="0.25">
      <c r="A181">
        <v>863</v>
      </c>
      <c r="B181">
        <v>9030</v>
      </c>
      <c r="C181" t="s">
        <v>1220</v>
      </c>
      <c r="D181" t="s">
        <v>1196</v>
      </c>
      <c r="E181" t="s">
        <v>1193</v>
      </c>
      <c r="F181">
        <v>412</v>
      </c>
      <c r="G181">
        <v>872</v>
      </c>
      <c r="H181" t="s">
        <v>1490</v>
      </c>
      <c r="I181" t="s">
        <v>1491</v>
      </c>
      <c r="J181" t="str">
        <f>_xlfn.XLOOKUP(A181,Status!A:A,Status!B:B)</f>
        <v>NOT DELIVERED</v>
      </c>
      <c r="K181" s="1">
        <f>_xlfn.XLOOKUP(A181,Status!A:A,Status!C:C)</f>
        <v>27457</v>
      </c>
      <c r="L181" s="1">
        <f>_xlfn.XLOOKUP(A181,Status!A:A,Status!D:D)</f>
        <v>0</v>
      </c>
      <c r="M181" t="str">
        <f t="shared" si="15"/>
        <v>Light</v>
      </c>
      <c r="N181" t="str">
        <f t="shared" si="16"/>
        <v/>
      </c>
      <c r="O181" s="4">
        <f t="shared" si="17"/>
        <v>0.47247706422018348</v>
      </c>
    </row>
    <row r="182" spans="1:15" x14ac:dyDescent="0.25">
      <c r="A182">
        <v>668</v>
      </c>
      <c r="B182">
        <v>2378</v>
      </c>
      <c r="C182" t="s">
        <v>1200</v>
      </c>
      <c r="D182" t="s">
        <v>1192</v>
      </c>
      <c r="E182" t="s">
        <v>1197</v>
      </c>
      <c r="F182">
        <v>938</v>
      </c>
      <c r="G182">
        <v>1067</v>
      </c>
      <c r="H182" t="s">
        <v>1492</v>
      </c>
      <c r="I182" t="s">
        <v>1446</v>
      </c>
      <c r="J182" t="str">
        <f>_xlfn.XLOOKUP(A182,Status!A:A,Status!B:B)</f>
        <v>DELIVERED</v>
      </c>
      <c r="K182" s="1">
        <f>_xlfn.XLOOKUP(A182,Status!A:A,Status!C:C)</f>
        <v>26460</v>
      </c>
      <c r="L182" s="1">
        <f>_xlfn.XLOOKUP(A182,Status!A:A,Status!D:D)</f>
        <v>26466</v>
      </c>
      <c r="M182" t="str">
        <f t="shared" si="15"/>
        <v>Heavy</v>
      </c>
      <c r="N182">
        <f t="shared" si="16"/>
        <v>6</v>
      </c>
      <c r="O182" s="4">
        <f t="shared" si="17"/>
        <v>0.87910028116213679</v>
      </c>
    </row>
    <row r="183" spans="1:15" x14ac:dyDescent="0.25">
      <c r="A183">
        <v>206</v>
      </c>
      <c r="B183">
        <v>5894</v>
      </c>
      <c r="C183" t="s">
        <v>1200</v>
      </c>
      <c r="D183" t="s">
        <v>1196</v>
      </c>
      <c r="E183" t="s">
        <v>1197</v>
      </c>
      <c r="F183">
        <v>854</v>
      </c>
      <c r="G183">
        <v>1251</v>
      </c>
      <c r="H183" t="s">
        <v>1493</v>
      </c>
      <c r="I183" t="s">
        <v>245</v>
      </c>
      <c r="J183" t="str">
        <f>_xlfn.XLOOKUP(A183,Status!A:A,Status!B:B)</f>
        <v>NOT DELIVERED</v>
      </c>
      <c r="K183" s="1">
        <f>_xlfn.XLOOKUP(A183,Status!A:A,Status!C:C)</f>
        <v>41085</v>
      </c>
      <c r="L183" s="1">
        <f>_xlfn.XLOOKUP(A183,Status!A:A,Status!D:D)</f>
        <v>0</v>
      </c>
      <c r="M183" t="str">
        <f t="shared" si="15"/>
        <v>Heavy</v>
      </c>
      <c r="N183" t="str">
        <f t="shared" si="16"/>
        <v/>
      </c>
      <c r="O183" s="4">
        <f t="shared" si="17"/>
        <v>0.68265387689848123</v>
      </c>
    </row>
    <row r="184" spans="1:15" x14ac:dyDescent="0.25">
      <c r="A184">
        <v>835</v>
      </c>
      <c r="B184">
        <v>7587</v>
      </c>
      <c r="C184" t="s">
        <v>1200</v>
      </c>
      <c r="D184" t="s">
        <v>1196</v>
      </c>
      <c r="E184" t="s">
        <v>1193</v>
      </c>
      <c r="F184">
        <v>638</v>
      </c>
      <c r="G184">
        <v>1314</v>
      </c>
      <c r="H184" t="s">
        <v>1494</v>
      </c>
      <c r="I184" t="s">
        <v>1291</v>
      </c>
      <c r="J184" t="str">
        <f>_xlfn.XLOOKUP(A184,Status!A:A,Status!B:B)</f>
        <v>NOT DELIVERED</v>
      </c>
      <c r="K184" s="1">
        <f>_xlfn.XLOOKUP(A184,Status!A:A,Status!C:C)</f>
        <v>28130</v>
      </c>
      <c r="L184" s="1">
        <f>_xlfn.XLOOKUP(A184,Status!A:A,Status!D:D)</f>
        <v>0</v>
      </c>
      <c r="M184" t="str">
        <f t="shared" si="15"/>
        <v>Heavy</v>
      </c>
      <c r="N184" t="str">
        <f t="shared" si="16"/>
        <v/>
      </c>
      <c r="O184" s="4">
        <f t="shared" si="17"/>
        <v>0.48554033485540332</v>
      </c>
    </row>
    <row r="185" spans="1:15" x14ac:dyDescent="0.25">
      <c r="A185">
        <v>315</v>
      </c>
      <c r="B185">
        <v>1424</v>
      </c>
      <c r="C185" t="s">
        <v>1209</v>
      </c>
      <c r="D185" t="s">
        <v>1192</v>
      </c>
      <c r="E185" t="s">
        <v>1197</v>
      </c>
      <c r="F185">
        <v>230</v>
      </c>
      <c r="G185">
        <v>638</v>
      </c>
      <c r="H185" t="s">
        <v>1495</v>
      </c>
      <c r="I185" t="s">
        <v>1496</v>
      </c>
      <c r="J185" t="str">
        <f>_xlfn.XLOOKUP(A185,Status!A:A,Status!B:B)</f>
        <v>NOT DELIVERED</v>
      </c>
      <c r="K185" s="1">
        <f>_xlfn.XLOOKUP(A185,Status!A:A,Status!C:C)</f>
        <v>35029</v>
      </c>
      <c r="L185" s="1">
        <f>_xlfn.XLOOKUP(A185,Status!A:A,Status!D:D)</f>
        <v>0</v>
      </c>
      <c r="M185" t="str">
        <f t="shared" si="15"/>
        <v>Light</v>
      </c>
      <c r="N185" t="str">
        <f t="shared" si="16"/>
        <v/>
      </c>
      <c r="O185" s="4">
        <f t="shared" si="17"/>
        <v>0.36050156739811912</v>
      </c>
    </row>
    <row r="186" spans="1:15" x14ac:dyDescent="0.25">
      <c r="A186">
        <v>553</v>
      </c>
      <c r="B186">
        <v>5214</v>
      </c>
      <c r="C186" t="s">
        <v>1243</v>
      </c>
      <c r="D186" t="s">
        <v>1192</v>
      </c>
      <c r="E186" t="s">
        <v>1193</v>
      </c>
      <c r="F186">
        <v>245</v>
      </c>
      <c r="G186">
        <v>611</v>
      </c>
      <c r="H186" t="s">
        <v>1497</v>
      </c>
      <c r="I186" t="s">
        <v>1498</v>
      </c>
      <c r="J186" t="str">
        <f>_xlfn.XLOOKUP(A186,Status!A:A,Status!B:B)</f>
        <v>NOT DELIVERED</v>
      </c>
      <c r="K186" s="1">
        <f>_xlfn.XLOOKUP(A186,Status!A:A,Status!C:C)</f>
        <v>34906</v>
      </c>
      <c r="L186" s="1">
        <f>_xlfn.XLOOKUP(A186,Status!A:A,Status!D:D)</f>
        <v>0</v>
      </c>
      <c r="M186" t="str">
        <f t="shared" si="15"/>
        <v>Light</v>
      </c>
      <c r="N186" t="str">
        <f t="shared" si="16"/>
        <v/>
      </c>
      <c r="O186" s="4">
        <f t="shared" si="17"/>
        <v>0.40098199672667756</v>
      </c>
    </row>
    <row r="187" spans="1:15" x14ac:dyDescent="0.25">
      <c r="A187">
        <v>861</v>
      </c>
      <c r="B187">
        <v>8249</v>
      </c>
      <c r="C187" t="s">
        <v>1200</v>
      </c>
      <c r="D187" t="s">
        <v>1196</v>
      </c>
      <c r="E187" t="s">
        <v>1193</v>
      </c>
      <c r="F187">
        <v>916</v>
      </c>
      <c r="G187">
        <v>1255</v>
      </c>
      <c r="H187" t="s">
        <v>423</v>
      </c>
      <c r="I187" t="s">
        <v>1499</v>
      </c>
      <c r="J187" t="str">
        <f>_xlfn.XLOOKUP(A187,Status!A:A,Status!B:B)</f>
        <v>DELIVERED</v>
      </c>
      <c r="K187" s="1">
        <f>_xlfn.XLOOKUP(A187,Status!A:A,Status!C:C)</f>
        <v>35104</v>
      </c>
      <c r="L187" s="1">
        <f>_xlfn.XLOOKUP(A187,Status!A:A,Status!D:D)</f>
        <v>35321</v>
      </c>
      <c r="M187" t="str">
        <f t="shared" si="15"/>
        <v>Heavy</v>
      </c>
      <c r="N187">
        <f t="shared" si="16"/>
        <v>217</v>
      </c>
      <c r="O187" s="4">
        <f t="shared" si="17"/>
        <v>0.72988047808764944</v>
      </c>
    </row>
    <row r="188" spans="1:15" x14ac:dyDescent="0.25">
      <c r="A188">
        <v>279</v>
      </c>
      <c r="B188">
        <v>3172</v>
      </c>
      <c r="C188" t="s">
        <v>1232</v>
      </c>
      <c r="D188" t="s">
        <v>1196</v>
      </c>
      <c r="E188" t="s">
        <v>1193</v>
      </c>
      <c r="F188">
        <v>84</v>
      </c>
      <c r="G188">
        <v>464</v>
      </c>
      <c r="H188" t="s">
        <v>715</v>
      </c>
      <c r="I188" t="s">
        <v>953</v>
      </c>
      <c r="J188" t="str">
        <f>_xlfn.XLOOKUP(A188,Status!A:A,Status!B:B)</f>
        <v>NOT DELIVERED</v>
      </c>
      <c r="K188" s="1">
        <f>_xlfn.XLOOKUP(A188,Status!A:A,Status!C:C)</f>
        <v>42447</v>
      </c>
      <c r="L188" s="1">
        <f>_xlfn.XLOOKUP(A188,Status!A:A,Status!D:D)</f>
        <v>0</v>
      </c>
      <c r="M188" t="str">
        <f t="shared" si="15"/>
        <v>Light</v>
      </c>
      <c r="N188" t="str">
        <f t="shared" si="16"/>
        <v/>
      </c>
      <c r="O188" s="4">
        <f t="shared" si="17"/>
        <v>0.18103448275862069</v>
      </c>
    </row>
    <row r="189" spans="1:15" x14ac:dyDescent="0.25">
      <c r="A189">
        <v>75</v>
      </c>
      <c r="B189">
        <v>5489</v>
      </c>
      <c r="C189" t="s">
        <v>1212</v>
      </c>
      <c r="D189" t="s">
        <v>1192</v>
      </c>
      <c r="E189" t="s">
        <v>1193</v>
      </c>
      <c r="F189">
        <v>869</v>
      </c>
      <c r="G189">
        <v>1317</v>
      </c>
      <c r="H189" t="s">
        <v>1420</v>
      </c>
      <c r="I189" t="s">
        <v>1500</v>
      </c>
      <c r="J189" t="str">
        <f>_xlfn.XLOOKUP(A189,Status!A:A,Status!B:B)</f>
        <v>DELIVERED</v>
      </c>
      <c r="K189" s="1">
        <f>_xlfn.XLOOKUP(A189,Status!A:A,Status!C:C)</f>
        <v>37404</v>
      </c>
      <c r="L189" s="1">
        <f>_xlfn.XLOOKUP(A189,Status!A:A,Status!D:D)</f>
        <v>37507</v>
      </c>
      <c r="M189" t="str">
        <f t="shared" si="15"/>
        <v>Heavy</v>
      </c>
      <c r="N189">
        <f t="shared" si="16"/>
        <v>103</v>
      </c>
      <c r="O189" s="4">
        <f t="shared" si="17"/>
        <v>0.65983295368261197</v>
      </c>
    </row>
    <row r="190" spans="1:15" x14ac:dyDescent="0.25">
      <c r="A190">
        <v>895</v>
      </c>
      <c r="B190">
        <v>2037</v>
      </c>
      <c r="C190" t="s">
        <v>1243</v>
      </c>
      <c r="D190" t="s">
        <v>1196</v>
      </c>
      <c r="E190" t="s">
        <v>1197</v>
      </c>
      <c r="F190">
        <v>271</v>
      </c>
      <c r="G190">
        <v>704</v>
      </c>
      <c r="H190" t="s">
        <v>1501</v>
      </c>
      <c r="I190" t="s">
        <v>1502</v>
      </c>
      <c r="J190" t="str">
        <f>_xlfn.XLOOKUP(A190,Status!A:A,Status!B:B)</f>
        <v>NOT DELIVERED</v>
      </c>
      <c r="K190" s="1">
        <f>_xlfn.XLOOKUP(A190,Status!A:A,Status!C:C)</f>
        <v>40252</v>
      </c>
      <c r="L190" s="1">
        <f>_xlfn.XLOOKUP(A190,Status!A:A,Status!D:D)</f>
        <v>0</v>
      </c>
      <c r="M190" t="str">
        <f t="shared" si="15"/>
        <v>Light</v>
      </c>
      <c r="N190" t="str">
        <f t="shared" si="16"/>
        <v/>
      </c>
      <c r="O190" s="4">
        <f t="shared" si="17"/>
        <v>0.38494318181818182</v>
      </c>
    </row>
    <row r="191" spans="1:15" x14ac:dyDescent="0.25">
      <c r="A191">
        <v>866</v>
      </c>
      <c r="B191">
        <v>2401</v>
      </c>
      <c r="C191" t="s">
        <v>1200</v>
      </c>
      <c r="D191" t="s">
        <v>1196</v>
      </c>
      <c r="E191" t="s">
        <v>1193</v>
      </c>
      <c r="F191">
        <v>691</v>
      </c>
      <c r="G191">
        <v>1260</v>
      </c>
      <c r="H191" t="s">
        <v>144</v>
      </c>
      <c r="I191" t="s">
        <v>1503</v>
      </c>
      <c r="J191" t="str">
        <f>_xlfn.XLOOKUP(A191,Status!A:A,Status!B:B)</f>
        <v>DELIVERED</v>
      </c>
      <c r="K191" s="1">
        <f>_xlfn.XLOOKUP(A191,Status!A:A,Status!C:C)</f>
        <v>34721</v>
      </c>
      <c r="L191" s="1">
        <f>_xlfn.XLOOKUP(A191,Status!A:A,Status!D:D)</f>
        <v>34700</v>
      </c>
      <c r="M191" t="str">
        <f t="shared" si="15"/>
        <v>Heavy</v>
      </c>
      <c r="N191">
        <f t="shared" si="16"/>
        <v>21</v>
      </c>
      <c r="O191" s="4">
        <f t="shared" si="17"/>
        <v>0.54841269841269846</v>
      </c>
    </row>
    <row r="192" spans="1:15" x14ac:dyDescent="0.25">
      <c r="A192">
        <v>792</v>
      </c>
      <c r="B192">
        <v>1303</v>
      </c>
      <c r="C192" t="s">
        <v>1243</v>
      </c>
      <c r="D192" t="s">
        <v>1192</v>
      </c>
      <c r="E192" t="s">
        <v>1193</v>
      </c>
      <c r="F192">
        <v>808</v>
      </c>
      <c r="G192">
        <v>1257</v>
      </c>
      <c r="H192" t="s">
        <v>1504</v>
      </c>
      <c r="I192" t="s">
        <v>1505</v>
      </c>
      <c r="J192" t="str">
        <f>_xlfn.XLOOKUP(A192,Status!A:A,Status!B:B)</f>
        <v>NOT DELIVERED</v>
      </c>
      <c r="K192" s="1">
        <f>_xlfn.XLOOKUP(A192,Status!A:A,Status!C:C)</f>
        <v>39715</v>
      </c>
      <c r="L192" s="1">
        <f>_xlfn.XLOOKUP(A192,Status!A:A,Status!D:D)</f>
        <v>0</v>
      </c>
      <c r="M192" t="str">
        <f t="shared" si="15"/>
        <v>Heavy</v>
      </c>
      <c r="N192" t="str">
        <f t="shared" si="16"/>
        <v/>
      </c>
      <c r="O192" s="4">
        <f t="shared" si="17"/>
        <v>0.64280031821797934</v>
      </c>
    </row>
    <row r="193" spans="1:15" x14ac:dyDescent="0.25">
      <c r="A193">
        <v>191</v>
      </c>
      <c r="B193">
        <v>6798</v>
      </c>
      <c r="C193" t="s">
        <v>1203</v>
      </c>
      <c r="D193" t="s">
        <v>1196</v>
      </c>
      <c r="E193" t="s">
        <v>1197</v>
      </c>
      <c r="F193">
        <v>997</v>
      </c>
      <c r="G193">
        <v>1382</v>
      </c>
      <c r="H193" t="s">
        <v>1506</v>
      </c>
      <c r="I193" t="s">
        <v>1507</v>
      </c>
      <c r="J193" t="str">
        <f>_xlfn.XLOOKUP(A193,Status!A:A,Status!B:B)</f>
        <v>DELIVERED</v>
      </c>
      <c r="K193" s="1">
        <f>_xlfn.XLOOKUP(A193,Status!A:A,Status!C:C)</f>
        <v>32511</v>
      </c>
      <c r="L193" s="1">
        <f>_xlfn.XLOOKUP(A193,Status!A:A,Status!D:D)</f>
        <v>32798</v>
      </c>
      <c r="M193" t="str">
        <f t="shared" si="15"/>
        <v>Heavy</v>
      </c>
      <c r="N193">
        <f t="shared" si="16"/>
        <v>287</v>
      </c>
      <c r="O193" s="4">
        <f t="shared" si="17"/>
        <v>0.72141823444283648</v>
      </c>
    </row>
    <row r="194" spans="1:15" x14ac:dyDescent="0.25">
      <c r="A194">
        <v>59</v>
      </c>
      <c r="B194">
        <v>9917</v>
      </c>
      <c r="C194" t="s">
        <v>1232</v>
      </c>
      <c r="D194" t="s">
        <v>1196</v>
      </c>
      <c r="E194" t="s">
        <v>1193</v>
      </c>
      <c r="F194">
        <v>329</v>
      </c>
      <c r="G194">
        <v>977</v>
      </c>
      <c r="H194" t="s">
        <v>1508</v>
      </c>
      <c r="I194" t="s">
        <v>1509</v>
      </c>
      <c r="J194" t="str">
        <f>_xlfn.XLOOKUP(A194,Status!A:A,Status!B:B)</f>
        <v>NOT DELIVERED</v>
      </c>
      <c r="K194" s="1">
        <f>_xlfn.XLOOKUP(A194,Status!A:A,Status!C:C)</f>
        <v>30774</v>
      </c>
      <c r="L194" s="1">
        <f>_xlfn.XLOOKUP(A194,Status!A:A,Status!D:D)</f>
        <v>0</v>
      </c>
      <c r="M194" t="str">
        <f t="shared" ref="M194:M201" si="18">IF(F194&gt;500,"Heavy","Light")</f>
        <v>Light</v>
      </c>
      <c r="N194" t="str">
        <f t="shared" ref="N194:N201" si="19">IF(OR(L194=0,K194=0),"",ABS(L194-K194))</f>
        <v/>
      </c>
      <c r="O194" s="4">
        <f t="shared" ref="O194:O201" si="20">F194/G194</f>
        <v>0.3367451381780962</v>
      </c>
    </row>
    <row r="195" spans="1:15" x14ac:dyDescent="0.25">
      <c r="A195">
        <v>748</v>
      </c>
      <c r="B195">
        <v>2969</v>
      </c>
      <c r="C195" t="s">
        <v>1203</v>
      </c>
      <c r="D195" t="s">
        <v>1192</v>
      </c>
      <c r="E195" t="s">
        <v>1193</v>
      </c>
      <c r="F195">
        <v>600</v>
      </c>
      <c r="G195">
        <v>1048</v>
      </c>
      <c r="H195" t="s">
        <v>1510</v>
      </c>
      <c r="I195" t="s">
        <v>1511</v>
      </c>
      <c r="J195" t="str">
        <f>_xlfn.XLOOKUP(A195,Status!A:A,Status!B:B)</f>
        <v>NOT DELIVERED</v>
      </c>
      <c r="K195" s="1">
        <f>_xlfn.XLOOKUP(A195,Status!A:A,Status!C:C)</f>
        <v>31904</v>
      </c>
      <c r="L195" s="1">
        <f>_xlfn.XLOOKUP(A195,Status!A:A,Status!D:D)</f>
        <v>0</v>
      </c>
      <c r="M195" t="str">
        <f t="shared" si="18"/>
        <v>Heavy</v>
      </c>
      <c r="N195" t="str">
        <f t="shared" si="19"/>
        <v/>
      </c>
      <c r="O195" s="4">
        <f t="shared" si="20"/>
        <v>0.5725190839694656</v>
      </c>
    </row>
    <row r="196" spans="1:15" x14ac:dyDescent="0.25">
      <c r="A196">
        <v>693</v>
      </c>
      <c r="B196">
        <v>8737</v>
      </c>
      <c r="C196" t="s">
        <v>1203</v>
      </c>
      <c r="D196" t="s">
        <v>1196</v>
      </c>
      <c r="E196" t="s">
        <v>1197</v>
      </c>
      <c r="F196">
        <v>715</v>
      </c>
      <c r="G196">
        <v>1271</v>
      </c>
      <c r="H196" t="s">
        <v>322</v>
      </c>
      <c r="I196" t="s">
        <v>1253</v>
      </c>
      <c r="J196" t="str">
        <f>_xlfn.XLOOKUP(A196,Status!A:A,Status!B:B)</f>
        <v>NOT DELIVERED</v>
      </c>
      <c r="K196" s="1">
        <f>_xlfn.XLOOKUP(A196,Status!A:A,Status!C:C)</f>
        <v>30685</v>
      </c>
      <c r="L196" s="1">
        <f>_xlfn.XLOOKUP(A196,Status!A:A,Status!D:D)</f>
        <v>0</v>
      </c>
      <c r="M196" t="str">
        <f t="shared" si="18"/>
        <v>Heavy</v>
      </c>
      <c r="N196" t="str">
        <f t="shared" si="19"/>
        <v/>
      </c>
      <c r="O196" s="4">
        <f t="shared" si="20"/>
        <v>0.56254917387883552</v>
      </c>
    </row>
    <row r="197" spans="1:15" x14ac:dyDescent="0.25">
      <c r="A197">
        <v>955</v>
      </c>
      <c r="B197">
        <v>2104</v>
      </c>
      <c r="C197" t="s">
        <v>1203</v>
      </c>
      <c r="D197" t="s">
        <v>1196</v>
      </c>
      <c r="E197" t="s">
        <v>1197</v>
      </c>
      <c r="F197">
        <v>957</v>
      </c>
      <c r="G197">
        <v>1007</v>
      </c>
      <c r="H197" t="s">
        <v>1512</v>
      </c>
      <c r="I197" t="s">
        <v>1513</v>
      </c>
      <c r="J197" t="str">
        <f>_xlfn.XLOOKUP(A197,Status!A:A,Status!B:B)</f>
        <v>DELIVERED</v>
      </c>
      <c r="K197" s="1">
        <f>_xlfn.XLOOKUP(A197,Status!A:A,Status!C:C)</f>
        <v>33734</v>
      </c>
      <c r="L197" s="1">
        <f>_xlfn.XLOOKUP(A197,Status!A:A,Status!D:D)</f>
        <v>33965</v>
      </c>
      <c r="M197" t="str">
        <f t="shared" si="18"/>
        <v>Heavy</v>
      </c>
      <c r="N197">
        <f t="shared" si="19"/>
        <v>231</v>
      </c>
      <c r="O197" s="4">
        <f t="shared" si="20"/>
        <v>0.95034756703078449</v>
      </c>
    </row>
    <row r="198" spans="1:15" x14ac:dyDescent="0.25">
      <c r="A198">
        <v>538</v>
      </c>
      <c r="B198">
        <v>1702</v>
      </c>
      <c r="C198" t="s">
        <v>1215</v>
      </c>
      <c r="D198" t="s">
        <v>1196</v>
      </c>
      <c r="E198" t="s">
        <v>1197</v>
      </c>
      <c r="F198">
        <v>484</v>
      </c>
      <c r="G198">
        <v>863</v>
      </c>
      <c r="H198" t="s">
        <v>438</v>
      </c>
      <c r="I198" t="s">
        <v>1514</v>
      </c>
      <c r="J198" t="str">
        <f>_xlfn.XLOOKUP(A198,Status!A:A,Status!B:B)</f>
        <v>NOT DELIVERED</v>
      </c>
      <c r="K198" s="1">
        <f>_xlfn.XLOOKUP(A198,Status!A:A,Status!C:C)</f>
        <v>40032</v>
      </c>
      <c r="L198" s="1">
        <f>_xlfn.XLOOKUP(A198,Status!A:A,Status!D:D)</f>
        <v>0</v>
      </c>
      <c r="M198" t="str">
        <f t="shared" si="18"/>
        <v>Light</v>
      </c>
      <c r="N198" t="str">
        <f t="shared" si="19"/>
        <v/>
      </c>
      <c r="O198" s="4">
        <f t="shared" si="20"/>
        <v>0.56083429895712633</v>
      </c>
    </row>
    <row r="199" spans="1:15" x14ac:dyDescent="0.25">
      <c r="A199">
        <v>169</v>
      </c>
      <c r="B199">
        <v>8933</v>
      </c>
      <c r="C199" t="s">
        <v>1206</v>
      </c>
      <c r="D199" t="s">
        <v>1196</v>
      </c>
      <c r="E199" t="s">
        <v>1197</v>
      </c>
      <c r="F199">
        <v>576</v>
      </c>
      <c r="G199">
        <v>1077</v>
      </c>
      <c r="H199" t="s">
        <v>1515</v>
      </c>
      <c r="I199" t="s">
        <v>1516</v>
      </c>
      <c r="J199" t="str">
        <f>_xlfn.XLOOKUP(A199,Status!A:A,Status!B:B)</f>
        <v>DELIVERED</v>
      </c>
      <c r="K199" s="1">
        <f>_xlfn.XLOOKUP(A199,Status!A:A,Status!C:C)</f>
        <v>42811</v>
      </c>
      <c r="L199" s="1">
        <f>_xlfn.XLOOKUP(A199,Status!A:A,Status!D:D)</f>
        <v>42971</v>
      </c>
      <c r="M199" t="str">
        <f t="shared" si="18"/>
        <v>Heavy</v>
      </c>
      <c r="N199">
        <f t="shared" si="19"/>
        <v>160</v>
      </c>
      <c r="O199" s="4">
        <f t="shared" si="20"/>
        <v>0.5348189415041783</v>
      </c>
    </row>
    <row r="200" spans="1:15" x14ac:dyDescent="0.25">
      <c r="A200">
        <v>924</v>
      </c>
      <c r="B200">
        <v>3624</v>
      </c>
      <c r="C200" t="s">
        <v>1232</v>
      </c>
      <c r="D200" t="s">
        <v>1196</v>
      </c>
      <c r="E200" t="s">
        <v>1193</v>
      </c>
      <c r="F200">
        <v>606</v>
      </c>
      <c r="G200">
        <v>1021</v>
      </c>
      <c r="H200" t="s">
        <v>1517</v>
      </c>
      <c r="I200" t="s">
        <v>1518</v>
      </c>
      <c r="J200" t="str">
        <f>_xlfn.XLOOKUP(A200,Status!A:A,Status!B:B)</f>
        <v>DELIVERED</v>
      </c>
      <c r="K200" s="1">
        <f>_xlfn.XLOOKUP(A200,Status!A:A,Status!C:C)</f>
        <v>42032</v>
      </c>
      <c r="L200" s="1">
        <f>_xlfn.XLOOKUP(A200,Status!A:A,Status!D:D)</f>
        <v>42083</v>
      </c>
      <c r="M200" t="str">
        <f t="shared" si="18"/>
        <v>Heavy</v>
      </c>
      <c r="N200">
        <f t="shared" si="19"/>
        <v>51</v>
      </c>
      <c r="O200" s="4">
        <f t="shared" si="20"/>
        <v>0.59353574926542607</v>
      </c>
    </row>
    <row r="201" spans="1:15" x14ac:dyDescent="0.25">
      <c r="A201">
        <v>579</v>
      </c>
      <c r="B201">
        <v>4892</v>
      </c>
      <c r="C201" t="s">
        <v>1203</v>
      </c>
      <c r="D201" t="s">
        <v>1192</v>
      </c>
      <c r="E201" t="s">
        <v>1197</v>
      </c>
      <c r="F201">
        <v>913</v>
      </c>
      <c r="G201">
        <v>1385</v>
      </c>
      <c r="H201" t="s">
        <v>1519</v>
      </c>
      <c r="I201" t="s">
        <v>1520</v>
      </c>
      <c r="J201" t="str">
        <f>_xlfn.XLOOKUP(A201,Status!A:A,Status!B:B)</f>
        <v>NOT DELIVERED</v>
      </c>
      <c r="K201" s="1">
        <f>_xlfn.XLOOKUP(A201,Status!A:A,Status!C:C)</f>
        <v>42725</v>
      </c>
      <c r="L201" s="1">
        <f>_xlfn.XLOOKUP(A201,Status!A:A,Status!D:D)</f>
        <v>0</v>
      </c>
      <c r="M201" t="str">
        <f t="shared" si="18"/>
        <v>Heavy</v>
      </c>
      <c r="N201" t="str">
        <f t="shared" si="19"/>
        <v/>
      </c>
      <c r="O201" s="4">
        <f t="shared" si="20"/>
        <v>0.65920577617328524</v>
      </c>
    </row>
  </sheetData>
  <conditionalFormatting sqref="F2:F201">
    <cfRule type="cellIs" dxfId="31" priority="1" operator="greaterThan">
      <formula>500</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2FAEE-6D6B-4D96-AA7F-D263F5EBA82A}">
  <dimension ref="A3:B9"/>
  <sheetViews>
    <sheetView workbookViewId="0">
      <selection activeCell="B4" sqref="B4"/>
    </sheetView>
  </sheetViews>
  <sheetFormatPr defaultRowHeight="15" x14ac:dyDescent="0.25"/>
  <cols>
    <col min="1" max="1" width="13.42578125" bestFit="1" customWidth="1"/>
    <col min="2" max="2" width="15.7109375" bestFit="1" customWidth="1"/>
  </cols>
  <sheetData>
    <row r="3" spans="1:2" x14ac:dyDescent="0.25">
      <c r="A3" s="2" t="s">
        <v>1533</v>
      </c>
      <c r="B3" t="s">
        <v>1538</v>
      </c>
    </row>
    <row r="4" spans="1:2" x14ac:dyDescent="0.25">
      <c r="A4" s="3">
        <v>1334</v>
      </c>
      <c r="B4">
        <v>99604</v>
      </c>
    </row>
    <row r="5" spans="1:2" x14ac:dyDescent="0.25">
      <c r="A5" s="3">
        <v>175</v>
      </c>
      <c r="B5">
        <v>99492</v>
      </c>
    </row>
    <row r="6" spans="1:2" x14ac:dyDescent="0.25">
      <c r="A6" s="3">
        <v>207</v>
      </c>
      <c r="B6">
        <v>99367</v>
      </c>
    </row>
    <row r="7" spans="1:2" x14ac:dyDescent="0.25">
      <c r="A7" s="3">
        <v>2154</v>
      </c>
      <c r="B7">
        <v>99239</v>
      </c>
    </row>
    <row r="8" spans="1:2" x14ac:dyDescent="0.25">
      <c r="A8" s="3">
        <v>3</v>
      </c>
      <c r="B8">
        <v>98982</v>
      </c>
    </row>
    <row r="9" spans="1:2" x14ac:dyDescent="0.25">
      <c r="A9" s="3" t="s">
        <v>1534</v>
      </c>
      <c r="B9">
        <v>496684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767E0-5FAD-4636-8552-5914C61DAAD7}">
  <dimension ref="A3:D7"/>
  <sheetViews>
    <sheetView workbookViewId="0">
      <selection activeCell="F9" sqref="F9"/>
    </sheetView>
  </sheetViews>
  <sheetFormatPr defaultRowHeight="15" x14ac:dyDescent="0.25"/>
  <cols>
    <col min="1" max="1" width="19" bestFit="1" customWidth="1"/>
    <col min="2" max="2" width="16.85546875" bestFit="1" customWidth="1"/>
    <col min="3" max="4" width="12" bestFit="1" customWidth="1"/>
  </cols>
  <sheetData>
    <row r="3" spans="1:4" x14ac:dyDescent="0.25">
      <c r="A3" s="2" t="s">
        <v>1546</v>
      </c>
      <c r="B3" s="2" t="s">
        <v>1545</v>
      </c>
    </row>
    <row r="4" spans="1:4" x14ac:dyDescent="0.25">
      <c r="A4" s="2" t="s">
        <v>1533</v>
      </c>
      <c r="B4" t="s">
        <v>985</v>
      </c>
      <c r="C4" t="s">
        <v>981</v>
      </c>
      <c r="D4" t="s">
        <v>1534</v>
      </c>
    </row>
    <row r="5" spans="1:4" x14ac:dyDescent="0.25">
      <c r="A5" s="3" t="s">
        <v>982</v>
      </c>
      <c r="B5" s="5">
        <v>44552.714285714283</v>
      </c>
      <c r="C5" s="5">
        <v>45570.37777777778</v>
      </c>
      <c r="D5" s="5">
        <v>45039.893617021276</v>
      </c>
    </row>
    <row r="6" spans="1:4" x14ac:dyDescent="0.25">
      <c r="A6" s="3" t="s">
        <v>987</v>
      </c>
      <c r="B6" s="5">
        <v>48273.686274509804</v>
      </c>
      <c r="C6" s="5">
        <v>50789.109090909093</v>
      </c>
      <c r="D6" s="5">
        <v>49578.858490566039</v>
      </c>
    </row>
    <row r="7" spans="1:4" x14ac:dyDescent="0.25">
      <c r="A7" s="3" t="s">
        <v>1534</v>
      </c>
      <c r="B7" s="5">
        <v>46450.41</v>
      </c>
      <c r="C7" s="5">
        <v>48440.68</v>
      </c>
      <c r="D7" s="5">
        <v>47445.544999999998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98B68-298C-46D1-8538-5E603C65D722}">
  <dimension ref="A3:C6"/>
  <sheetViews>
    <sheetView workbookViewId="0">
      <selection activeCell="D5" sqref="D5"/>
    </sheetView>
  </sheetViews>
  <sheetFormatPr defaultRowHeight="15" x14ac:dyDescent="0.25"/>
  <cols>
    <col min="1" max="1" width="14.5703125" bestFit="1" customWidth="1"/>
    <col min="2" max="2" width="19" bestFit="1" customWidth="1"/>
  </cols>
  <sheetData>
    <row r="3" spans="1:3" x14ac:dyDescent="0.25">
      <c r="A3" s="2" t="s">
        <v>1533</v>
      </c>
      <c r="B3" t="s">
        <v>1546</v>
      </c>
    </row>
    <row r="4" spans="1:3" x14ac:dyDescent="0.25">
      <c r="A4" s="3" t="s">
        <v>982</v>
      </c>
      <c r="B4" s="5">
        <v>45039.893617021276</v>
      </c>
      <c r="C4" s="5"/>
    </row>
    <row r="5" spans="1:3" x14ac:dyDescent="0.25">
      <c r="A5" s="3" t="s">
        <v>987</v>
      </c>
      <c r="B5" s="5">
        <v>49578.858490566039</v>
      </c>
      <c r="C5" s="5"/>
    </row>
    <row r="6" spans="1:3" x14ac:dyDescent="0.25">
      <c r="A6" s="3" t="s">
        <v>1534</v>
      </c>
      <c r="B6" s="5">
        <v>47445.544999999998</v>
      </c>
      <c r="C6" s="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F5136-9654-4D37-A0D6-7E929AF72351}">
  <dimension ref="A1:I201"/>
  <sheetViews>
    <sheetView topLeftCell="A2" workbookViewId="0">
      <selection activeCell="H16" sqref="H16"/>
    </sheetView>
  </sheetViews>
  <sheetFormatPr defaultRowHeight="15" x14ac:dyDescent="0.25"/>
  <cols>
    <col min="1" max="1" width="37.28515625" bestFit="1" customWidth="1"/>
    <col min="2" max="2" width="7.5703125" bestFit="1" customWidth="1"/>
    <col min="3" max="3" width="8.7109375" bestFit="1" customWidth="1"/>
    <col min="4" max="4" width="11.140625" bestFit="1" customWidth="1"/>
    <col min="5" max="5" width="17.85546875" bestFit="1" customWidth="1"/>
    <col min="6" max="6" width="17.140625" bestFit="1" customWidth="1"/>
    <col min="7" max="7" width="16.42578125" bestFit="1" customWidth="1"/>
    <col min="8" max="8" width="20.42578125" bestFit="1" customWidth="1"/>
    <col min="9" max="9" width="26.7109375" bestFit="1" customWidth="1"/>
  </cols>
  <sheetData>
    <row r="1" spans="1:9" x14ac:dyDescent="0.25">
      <c r="A1" t="s">
        <v>974</v>
      </c>
      <c r="B1" t="s">
        <v>0</v>
      </c>
      <c r="C1" t="s">
        <v>975</v>
      </c>
      <c r="D1" t="s">
        <v>976</v>
      </c>
      <c r="E1" t="s">
        <v>977</v>
      </c>
      <c r="F1" t="s">
        <v>978</v>
      </c>
      <c r="G1" t="s">
        <v>979</v>
      </c>
      <c r="H1" t="s">
        <v>1532</v>
      </c>
      <c r="I1" t="s">
        <v>1537</v>
      </c>
    </row>
    <row r="2" spans="1:9" x14ac:dyDescent="0.25">
      <c r="A2" t="s">
        <v>980</v>
      </c>
      <c r="B2">
        <v>230</v>
      </c>
      <c r="C2">
        <v>690</v>
      </c>
      <c r="D2">
        <v>49302</v>
      </c>
      <c r="E2" t="s">
        <v>981</v>
      </c>
      <c r="F2" t="s">
        <v>982</v>
      </c>
      <c r="G2" s="1">
        <v>41991</v>
      </c>
      <c r="H2" t="str">
        <f t="shared" ref="H2:H33" si="0">IF(D2&gt;7000,"High",IF(D2&gt;3000,"Medium","Low"))</f>
        <v>High</v>
      </c>
      <c r="I2">
        <f t="shared" ref="I2:I33" si="1">SUMIF(B:B,B2,D:D)</f>
        <v>49302</v>
      </c>
    </row>
    <row r="3" spans="1:9" x14ac:dyDescent="0.25">
      <c r="A3" t="s">
        <v>983</v>
      </c>
      <c r="B3">
        <v>3189</v>
      </c>
      <c r="C3">
        <v>933</v>
      </c>
      <c r="D3">
        <v>78698</v>
      </c>
      <c r="E3" t="s">
        <v>981</v>
      </c>
      <c r="F3" t="s">
        <v>982</v>
      </c>
      <c r="G3" s="1">
        <v>35621</v>
      </c>
      <c r="H3" t="str">
        <f t="shared" si="0"/>
        <v>High</v>
      </c>
      <c r="I3">
        <f t="shared" si="1"/>
        <v>78698</v>
      </c>
    </row>
    <row r="4" spans="1:9" x14ac:dyDescent="0.25">
      <c r="A4" t="s">
        <v>984</v>
      </c>
      <c r="B4">
        <v>2216</v>
      </c>
      <c r="C4">
        <v>261</v>
      </c>
      <c r="D4">
        <v>69417</v>
      </c>
      <c r="E4" t="s">
        <v>985</v>
      </c>
      <c r="F4" t="s">
        <v>982</v>
      </c>
      <c r="G4" s="1"/>
      <c r="H4" t="str">
        <f t="shared" si="0"/>
        <v>High</v>
      </c>
      <c r="I4">
        <f t="shared" si="1"/>
        <v>69417</v>
      </c>
    </row>
    <row r="5" spans="1:9" x14ac:dyDescent="0.25">
      <c r="A5" t="s">
        <v>986</v>
      </c>
      <c r="B5">
        <v>1904</v>
      </c>
      <c r="C5">
        <v>445</v>
      </c>
      <c r="D5">
        <v>39655</v>
      </c>
      <c r="E5" t="s">
        <v>985</v>
      </c>
      <c r="F5" t="s">
        <v>987</v>
      </c>
      <c r="G5" s="1"/>
      <c r="H5" t="str">
        <f t="shared" si="0"/>
        <v>High</v>
      </c>
      <c r="I5">
        <f t="shared" si="1"/>
        <v>39655</v>
      </c>
    </row>
    <row r="6" spans="1:9" x14ac:dyDescent="0.25">
      <c r="A6" t="s">
        <v>988</v>
      </c>
      <c r="B6">
        <v>7342</v>
      </c>
      <c r="C6">
        <v>722</v>
      </c>
      <c r="D6">
        <v>87400</v>
      </c>
      <c r="E6" t="s">
        <v>985</v>
      </c>
      <c r="F6" t="s">
        <v>987</v>
      </c>
      <c r="G6" s="1"/>
      <c r="H6" t="str">
        <f t="shared" si="0"/>
        <v>High</v>
      </c>
      <c r="I6">
        <f t="shared" si="1"/>
        <v>87400</v>
      </c>
    </row>
    <row r="7" spans="1:9" x14ac:dyDescent="0.25">
      <c r="A7" t="s">
        <v>989</v>
      </c>
      <c r="B7">
        <v>7633</v>
      </c>
      <c r="C7">
        <v>129</v>
      </c>
      <c r="D7">
        <v>56881</v>
      </c>
      <c r="E7" t="s">
        <v>981</v>
      </c>
      <c r="F7" t="s">
        <v>982</v>
      </c>
      <c r="G7" s="1">
        <v>26238</v>
      </c>
      <c r="H7" t="str">
        <f t="shared" si="0"/>
        <v>High</v>
      </c>
      <c r="I7">
        <f t="shared" si="1"/>
        <v>56881</v>
      </c>
    </row>
    <row r="8" spans="1:9" x14ac:dyDescent="0.25">
      <c r="A8" t="s">
        <v>990</v>
      </c>
      <c r="B8">
        <v>2154</v>
      </c>
      <c r="C8">
        <v>489</v>
      </c>
      <c r="D8">
        <v>99239</v>
      </c>
      <c r="E8" t="s">
        <v>985</v>
      </c>
      <c r="F8" t="s">
        <v>987</v>
      </c>
      <c r="G8" s="1"/>
      <c r="H8" t="str">
        <f t="shared" si="0"/>
        <v>High</v>
      </c>
      <c r="I8">
        <f t="shared" si="1"/>
        <v>99239</v>
      </c>
    </row>
    <row r="9" spans="1:9" x14ac:dyDescent="0.25">
      <c r="A9" t="s">
        <v>991</v>
      </c>
      <c r="B9">
        <v>5543</v>
      </c>
      <c r="C9">
        <v>165</v>
      </c>
      <c r="D9">
        <v>23921</v>
      </c>
      <c r="E9" t="s">
        <v>985</v>
      </c>
      <c r="F9" t="s">
        <v>987</v>
      </c>
      <c r="G9" s="1"/>
      <c r="H9" t="str">
        <f t="shared" si="0"/>
        <v>High</v>
      </c>
      <c r="I9">
        <f t="shared" si="1"/>
        <v>23921</v>
      </c>
    </row>
    <row r="10" spans="1:9" x14ac:dyDescent="0.25">
      <c r="A10" t="s">
        <v>992</v>
      </c>
      <c r="B10">
        <v>2332</v>
      </c>
      <c r="C10">
        <v>164</v>
      </c>
      <c r="D10">
        <v>67599</v>
      </c>
      <c r="E10" t="s">
        <v>985</v>
      </c>
      <c r="F10" t="s">
        <v>982</v>
      </c>
      <c r="G10" s="1"/>
      <c r="H10" t="str">
        <f t="shared" si="0"/>
        <v>High</v>
      </c>
      <c r="I10">
        <f t="shared" si="1"/>
        <v>67599</v>
      </c>
    </row>
    <row r="11" spans="1:9" x14ac:dyDescent="0.25">
      <c r="A11" t="s">
        <v>993</v>
      </c>
      <c r="B11">
        <v>4094</v>
      </c>
      <c r="C11">
        <v>364</v>
      </c>
      <c r="D11">
        <v>3725</v>
      </c>
      <c r="E11" t="s">
        <v>985</v>
      </c>
      <c r="F11" t="s">
        <v>987</v>
      </c>
      <c r="G11" s="1"/>
      <c r="H11" t="str">
        <f t="shared" si="0"/>
        <v>Medium</v>
      </c>
      <c r="I11">
        <f t="shared" si="1"/>
        <v>3725</v>
      </c>
    </row>
    <row r="12" spans="1:9" x14ac:dyDescent="0.25">
      <c r="A12" t="s">
        <v>994</v>
      </c>
      <c r="B12">
        <v>3042</v>
      </c>
      <c r="C12">
        <v>469</v>
      </c>
      <c r="D12">
        <v>95516</v>
      </c>
      <c r="E12" t="s">
        <v>981</v>
      </c>
      <c r="F12" t="s">
        <v>987</v>
      </c>
      <c r="G12" s="1">
        <v>33373</v>
      </c>
      <c r="H12" t="str">
        <f t="shared" si="0"/>
        <v>High</v>
      </c>
      <c r="I12">
        <f t="shared" si="1"/>
        <v>95516</v>
      </c>
    </row>
    <row r="13" spans="1:9" x14ac:dyDescent="0.25">
      <c r="A13" t="s">
        <v>995</v>
      </c>
      <c r="B13">
        <v>2220</v>
      </c>
      <c r="C13">
        <v>158</v>
      </c>
      <c r="D13">
        <v>62528</v>
      </c>
      <c r="E13" t="s">
        <v>981</v>
      </c>
      <c r="F13" t="s">
        <v>987</v>
      </c>
      <c r="G13" s="1">
        <v>27941</v>
      </c>
      <c r="H13" t="str">
        <f t="shared" si="0"/>
        <v>High</v>
      </c>
      <c r="I13">
        <f t="shared" si="1"/>
        <v>62528</v>
      </c>
    </row>
    <row r="14" spans="1:9" x14ac:dyDescent="0.25">
      <c r="A14" t="s">
        <v>996</v>
      </c>
      <c r="B14">
        <v>4988</v>
      </c>
      <c r="C14">
        <v>337</v>
      </c>
      <c r="D14">
        <v>21021</v>
      </c>
      <c r="E14" t="s">
        <v>985</v>
      </c>
      <c r="F14" t="s">
        <v>982</v>
      </c>
      <c r="G14" s="1"/>
      <c r="H14" t="str">
        <f t="shared" si="0"/>
        <v>High</v>
      </c>
      <c r="I14">
        <f t="shared" si="1"/>
        <v>21021</v>
      </c>
    </row>
    <row r="15" spans="1:9" x14ac:dyDescent="0.25">
      <c r="A15" t="s">
        <v>997</v>
      </c>
      <c r="B15">
        <v>175</v>
      </c>
      <c r="C15">
        <v>634</v>
      </c>
      <c r="D15">
        <v>99492</v>
      </c>
      <c r="E15" t="s">
        <v>985</v>
      </c>
      <c r="F15" t="s">
        <v>982</v>
      </c>
      <c r="G15" s="1"/>
      <c r="H15" t="str">
        <f t="shared" si="0"/>
        <v>High</v>
      </c>
      <c r="I15">
        <f t="shared" si="1"/>
        <v>99492</v>
      </c>
    </row>
    <row r="16" spans="1:9" x14ac:dyDescent="0.25">
      <c r="A16" t="s">
        <v>998</v>
      </c>
      <c r="B16">
        <v>4233</v>
      </c>
      <c r="C16">
        <v>577</v>
      </c>
      <c r="D16">
        <v>60282</v>
      </c>
      <c r="E16" t="s">
        <v>981</v>
      </c>
      <c r="F16" t="s">
        <v>982</v>
      </c>
      <c r="G16" s="1">
        <v>31998</v>
      </c>
      <c r="H16" t="str">
        <f t="shared" si="0"/>
        <v>High</v>
      </c>
      <c r="I16">
        <f t="shared" si="1"/>
        <v>60282</v>
      </c>
    </row>
    <row r="17" spans="1:9" x14ac:dyDescent="0.25">
      <c r="A17" t="s">
        <v>999</v>
      </c>
      <c r="B17">
        <v>4351</v>
      </c>
      <c r="C17">
        <v>907</v>
      </c>
      <c r="D17">
        <v>20357</v>
      </c>
      <c r="E17" t="s">
        <v>985</v>
      </c>
      <c r="F17" t="s">
        <v>982</v>
      </c>
      <c r="G17" s="1"/>
      <c r="H17" t="str">
        <f t="shared" si="0"/>
        <v>High</v>
      </c>
      <c r="I17">
        <f t="shared" si="1"/>
        <v>20357</v>
      </c>
    </row>
    <row r="18" spans="1:9" x14ac:dyDescent="0.25">
      <c r="A18" t="s">
        <v>1000</v>
      </c>
      <c r="B18">
        <v>5578</v>
      </c>
      <c r="C18">
        <v>870</v>
      </c>
      <c r="D18">
        <v>24053</v>
      </c>
      <c r="E18" t="s">
        <v>985</v>
      </c>
      <c r="F18" t="s">
        <v>982</v>
      </c>
      <c r="G18" s="1"/>
      <c r="H18" t="str">
        <f t="shared" si="0"/>
        <v>High</v>
      </c>
      <c r="I18">
        <f t="shared" si="1"/>
        <v>24053</v>
      </c>
    </row>
    <row r="19" spans="1:9" x14ac:dyDescent="0.25">
      <c r="A19" t="s">
        <v>1001</v>
      </c>
      <c r="B19">
        <v>4523</v>
      </c>
      <c r="C19">
        <v>982</v>
      </c>
      <c r="D19">
        <v>50958</v>
      </c>
      <c r="E19" t="s">
        <v>985</v>
      </c>
      <c r="F19" t="s">
        <v>982</v>
      </c>
      <c r="G19" s="1"/>
      <c r="H19" t="str">
        <f t="shared" si="0"/>
        <v>High</v>
      </c>
      <c r="I19">
        <f t="shared" si="1"/>
        <v>50958</v>
      </c>
    </row>
    <row r="20" spans="1:9" x14ac:dyDescent="0.25">
      <c r="A20" t="s">
        <v>1002</v>
      </c>
      <c r="B20">
        <v>2972</v>
      </c>
      <c r="C20">
        <v>351</v>
      </c>
      <c r="D20">
        <v>68227</v>
      </c>
      <c r="E20" t="s">
        <v>981</v>
      </c>
      <c r="F20" t="s">
        <v>982</v>
      </c>
      <c r="G20" s="1">
        <v>28312</v>
      </c>
      <c r="H20" t="str">
        <f t="shared" si="0"/>
        <v>High</v>
      </c>
      <c r="I20">
        <f t="shared" si="1"/>
        <v>68227</v>
      </c>
    </row>
    <row r="21" spans="1:9" x14ac:dyDescent="0.25">
      <c r="A21" t="s">
        <v>1003</v>
      </c>
      <c r="B21">
        <v>6153</v>
      </c>
      <c r="C21">
        <v>328</v>
      </c>
      <c r="D21">
        <v>77861</v>
      </c>
      <c r="E21" t="s">
        <v>981</v>
      </c>
      <c r="F21" t="s">
        <v>982</v>
      </c>
      <c r="G21" s="1">
        <v>35681</v>
      </c>
      <c r="H21" t="str">
        <f t="shared" si="0"/>
        <v>High</v>
      </c>
      <c r="I21">
        <f t="shared" si="1"/>
        <v>77861</v>
      </c>
    </row>
    <row r="22" spans="1:9" x14ac:dyDescent="0.25">
      <c r="A22" t="s">
        <v>1004</v>
      </c>
      <c r="B22">
        <v>4852</v>
      </c>
      <c r="C22">
        <v>242</v>
      </c>
      <c r="D22">
        <v>48315</v>
      </c>
      <c r="E22" t="s">
        <v>985</v>
      </c>
      <c r="F22" t="s">
        <v>982</v>
      </c>
      <c r="G22" s="1"/>
      <c r="H22" t="str">
        <f t="shared" si="0"/>
        <v>High</v>
      </c>
      <c r="I22">
        <f t="shared" si="1"/>
        <v>48315</v>
      </c>
    </row>
    <row r="23" spans="1:9" x14ac:dyDescent="0.25">
      <c r="A23" t="s">
        <v>1005</v>
      </c>
      <c r="B23">
        <v>8106</v>
      </c>
      <c r="C23">
        <v>421</v>
      </c>
      <c r="D23">
        <v>83002</v>
      </c>
      <c r="E23" t="s">
        <v>981</v>
      </c>
      <c r="F23" t="s">
        <v>982</v>
      </c>
      <c r="G23" s="1">
        <v>36224</v>
      </c>
      <c r="H23" t="str">
        <f t="shared" si="0"/>
        <v>High</v>
      </c>
      <c r="I23">
        <f t="shared" si="1"/>
        <v>83002</v>
      </c>
    </row>
    <row r="24" spans="1:9" x14ac:dyDescent="0.25">
      <c r="A24" t="s">
        <v>1006</v>
      </c>
      <c r="B24">
        <v>3917</v>
      </c>
      <c r="C24">
        <v>6</v>
      </c>
      <c r="D24">
        <v>47650</v>
      </c>
      <c r="E24" t="s">
        <v>981</v>
      </c>
      <c r="F24" t="s">
        <v>987</v>
      </c>
      <c r="G24" s="1">
        <v>28437</v>
      </c>
      <c r="H24" t="str">
        <f t="shared" si="0"/>
        <v>High</v>
      </c>
      <c r="I24">
        <f t="shared" si="1"/>
        <v>47650</v>
      </c>
    </row>
    <row r="25" spans="1:9" x14ac:dyDescent="0.25">
      <c r="A25" t="s">
        <v>1007</v>
      </c>
      <c r="B25">
        <v>9377</v>
      </c>
      <c r="C25">
        <v>384</v>
      </c>
      <c r="D25">
        <v>19386</v>
      </c>
      <c r="E25" t="s">
        <v>985</v>
      </c>
      <c r="F25" t="s">
        <v>987</v>
      </c>
      <c r="G25" s="1"/>
      <c r="H25" t="str">
        <f t="shared" si="0"/>
        <v>High</v>
      </c>
      <c r="I25">
        <f t="shared" si="1"/>
        <v>19386</v>
      </c>
    </row>
    <row r="26" spans="1:9" x14ac:dyDescent="0.25">
      <c r="A26" t="s">
        <v>1008</v>
      </c>
      <c r="B26">
        <v>5387</v>
      </c>
      <c r="C26">
        <v>286</v>
      </c>
      <c r="D26">
        <v>39432</v>
      </c>
      <c r="E26" t="s">
        <v>981</v>
      </c>
      <c r="F26" t="s">
        <v>987</v>
      </c>
      <c r="G26" s="1">
        <v>38610</v>
      </c>
      <c r="H26" t="str">
        <f t="shared" si="0"/>
        <v>High</v>
      </c>
      <c r="I26">
        <f t="shared" si="1"/>
        <v>39432</v>
      </c>
    </row>
    <row r="27" spans="1:9" x14ac:dyDescent="0.25">
      <c r="A27" t="s">
        <v>1009</v>
      </c>
      <c r="B27">
        <v>6513</v>
      </c>
      <c r="C27">
        <v>892</v>
      </c>
      <c r="D27">
        <v>1421</v>
      </c>
      <c r="E27" t="s">
        <v>981</v>
      </c>
      <c r="F27" t="s">
        <v>987</v>
      </c>
      <c r="G27" s="1">
        <v>43811</v>
      </c>
      <c r="H27" t="str">
        <f t="shared" si="0"/>
        <v>Low</v>
      </c>
      <c r="I27">
        <f t="shared" si="1"/>
        <v>1421</v>
      </c>
    </row>
    <row r="28" spans="1:9" x14ac:dyDescent="0.25">
      <c r="A28" t="s">
        <v>1010</v>
      </c>
      <c r="B28">
        <v>3965</v>
      </c>
      <c r="C28">
        <v>558</v>
      </c>
      <c r="D28">
        <v>16113</v>
      </c>
      <c r="E28" t="s">
        <v>981</v>
      </c>
      <c r="F28" t="s">
        <v>987</v>
      </c>
      <c r="G28" s="1">
        <v>41593</v>
      </c>
      <c r="H28" t="str">
        <f t="shared" si="0"/>
        <v>High</v>
      </c>
      <c r="I28">
        <f t="shared" si="1"/>
        <v>16113</v>
      </c>
    </row>
    <row r="29" spans="1:9" x14ac:dyDescent="0.25">
      <c r="A29" t="s">
        <v>1011</v>
      </c>
      <c r="B29">
        <v>8893</v>
      </c>
      <c r="C29">
        <v>481</v>
      </c>
      <c r="D29">
        <v>52318</v>
      </c>
      <c r="E29" t="s">
        <v>985</v>
      </c>
      <c r="F29" t="s">
        <v>982</v>
      </c>
      <c r="G29" s="1"/>
      <c r="H29" t="str">
        <f t="shared" si="0"/>
        <v>High</v>
      </c>
      <c r="I29">
        <f t="shared" si="1"/>
        <v>52318</v>
      </c>
    </row>
    <row r="30" spans="1:9" x14ac:dyDescent="0.25">
      <c r="A30" t="s">
        <v>1012</v>
      </c>
      <c r="B30">
        <v>1897</v>
      </c>
      <c r="C30">
        <v>155</v>
      </c>
      <c r="D30">
        <v>7389</v>
      </c>
      <c r="E30" t="s">
        <v>985</v>
      </c>
      <c r="F30" t="s">
        <v>982</v>
      </c>
      <c r="G30" s="1"/>
      <c r="H30" t="str">
        <f t="shared" si="0"/>
        <v>High</v>
      </c>
      <c r="I30">
        <f t="shared" si="1"/>
        <v>7389</v>
      </c>
    </row>
    <row r="31" spans="1:9" x14ac:dyDescent="0.25">
      <c r="A31" t="s">
        <v>1013</v>
      </c>
      <c r="B31">
        <v>390</v>
      </c>
      <c r="C31">
        <v>771</v>
      </c>
      <c r="D31">
        <v>86040</v>
      </c>
      <c r="E31" t="s">
        <v>981</v>
      </c>
      <c r="F31" t="s">
        <v>987</v>
      </c>
      <c r="G31" s="1">
        <v>41593</v>
      </c>
      <c r="H31" t="str">
        <f t="shared" si="0"/>
        <v>High</v>
      </c>
      <c r="I31">
        <f t="shared" si="1"/>
        <v>86040</v>
      </c>
    </row>
    <row r="32" spans="1:9" x14ac:dyDescent="0.25">
      <c r="A32" t="s">
        <v>1014</v>
      </c>
      <c r="B32">
        <v>3633</v>
      </c>
      <c r="C32">
        <v>945</v>
      </c>
      <c r="D32">
        <v>56148</v>
      </c>
      <c r="E32" t="s">
        <v>981</v>
      </c>
      <c r="F32" t="s">
        <v>987</v>
      </c>
      <c r="G32" s="1">
        <v>37113</v>
      </c>
      <c r="H32" t="str">
        <f t="shared" si="0"/>
        <v>High</v>
      </c>
      <c r="I32">
        <f t="shared" si="1"/>
        <v>56148</v>
      </c>
    </row>
    <row r="33" spans="1:9" x14ac:dyDescent="0.25">
      <c r="A33" t="s">
        <v>1015</v>
      </c>
      <c r="B33">
        <v>7828</v>
      </c>
      <c r="C33">
        <v>719</v>
      </c>
      <c r="D33">
        <v>894</v>
      </c>
      <c r="E33" t="s">
        <v>981</v>
      </c>
      <c r="F33" t="s">
        <v>982</v>
      </c>
      <c r="G33" s="1">
        <v>38915</v>
      </c>
      <c r="H33" t="str">
        <f t="shared" si="0"/>
        <v>Low</v>
      </c>
      <c r="I33">
        <f t="shared" si="1"/>
        <v>894</v>
      </c>
    </row>
    <row r="34" spans="1:9" x14ac:dyDescent="0.25">
      <c r="A34" t="s">
        <v>1016</v>
      </c>
      <c r="B34">
        <v>2241</v>
      </c>
      <c r="C34">
        <v>493</v>
      </c>
      <c r="D34">
        <v>35634</v>
      </c>
      <c r="E34" t="s">
        <v>985</v>
      </c>
      <c r="F34" t="s">
        <v>987</v>
      </c>
      <c r="G34" s="1"/>
      <c r="H34" t="str">
        <f t="shared" ref="H34:H65" si="2">IF(D34&gt;7000,"High",IF(D34&gt;3000,"Medium","Low"))</f>
        <v>High</v>
      </c>
      <c r="I34">
        <f t="shared" ref="I34:I65" si="3">SUMIF(B:B,B34,D:D)</f>
        <v>35634</v>
      </c>
    </row>
    <row r="35" spans="1:9" x14ac:dyDescent="0.25">
      <c r="A35" t="s">
        <v>1017</v>
      </c>
      <c r="B35">
        <v>896</v>
      </c>
      <c r="C35">
        <v>998</v>
      </c>
      <c r="D35">
        <v>28701</v>
      </c>
      <c r="E35" t="s">
        <v>981</v>
      </c>
      <c r="F35" t="s">
        <v>982</v>
      </c>
      <c r="G35" s="1">
        <v>41593</v>
      </c>
      <c r="H35" t="str">
        <f t="shared" si="2"/>
        <v>High</v>
      </c>
      <c r="I35">
        <f t="shared" si="3"/>
        <v>28701</v>
      </c>
    </row>
    <row r="36" spans="1:9" x14ac:dyDescent="0.25">
      <c r="A36" t="s">
        <v>1018</v>
      </c>
      <c r="B36">
        <v>6361</v>
      </c>
      <c r="C36">
        <v>968</v>
      </c>
      <c r="D36">
        <v>90380</v>
      </c>
      <c r="E36" t="s">
        <v>981</v>
      </c>
      <c r="F36" t="s">
        <v>982</v>
      </c>
      <c r="G36" s="1">
        <v>34183</v>
      </c>
      <c r="H36" t="str">
        <f t="shared" si="2"/>
        <v>High</v>
      </c>
      <c r="I36">
        <f t="shared" si="3"/>
        <v>90380</v>
      </c>
    </row>
    <row r="37" spans="1:9" x14ac:dyDescent="0.25">
      <c r="A37" t="s">
        <v>1019</v>
      </c>
      <c r="B37">
        <v>6713</v>
      </c>
      <c r="C37">
        <v>738</v>
      </c>
      <c r="D37">
        <v>21813</v>
      </c>
      <c r="E37" t="s">
        <v>985</v>
      </c>
      <c r="F37" t="s">
        <v>987</v>
      </c>
      <c r="G37" s="1"/>
      <c r="H37" t="str">
        <f t="shared" si="2"/>
        <v>High</v>
      </c>
      <c r="I37">
        <f t="shared" si="3"/>
        <v>21813</v>
      </c>
    </row>
    <row r="38" spans="1:9" x14ac:dyDescent="0.25">
      <c r="A38" t="s">
        <v>1020</v>
      </c>
      <c r="B38">
        <v>4283</v>
      </c>
      <c r="C38">
        <v>912</v>
      </c>
      <c r="D38">
        <v>36312</v>
      </c>
      <c r="E38" t="s">
        <v>985</v>
      </c>
      <c r="F38" t="s">
        <v>982</v>
      </c>
      <c r="G38" s="1"/>
      <c r="H38" t="str">
        <f t="shared" si="2"/>
        <v>High</v>
      </c>
      <c r="I38">
        <f t="shared" si="3"/>
        <v>36312</v>
      </c>
    </row>
    <row r="39" spans="1:9" x14ac:dyDescent="0.25">
      <c r="A39" t="s">
        <v>1021</v>
      </c>
      <c r="B39">
        <v>9486</v>
      </c>
      <c r="C39">
        <v>782</v>
      </c>
      <c r="D39">
        <v>24856</v>
      </c>
      <c r="E39" t="s">
        <v>981</v>
      </c>
      <c r="F39" t="s">
        <v>982</v>
      </c>
      <c r="G39" s="1">
        <v>37549</v>
      </c>
      <c r="H39" t="str">
        <f t="shared" si="2"/>
        <v>High</v>
      </c>
      <c r="I39">
        <f t="shared" si="3"/>
        <v>24856</v>
      </c>
    </row>
    <row r="40" spans="1:9" x14ac:dyDescent="0.25">
      <c r="A40" t="s">
        <v>1022</v>
      </c>
      <c r="B40">
        <v>308</v>
      </c>
      <c r="C40">
        <v>140</v>
      </c>
      <c r="D40">
        <v>39234</v>
      </c>
      <c r="E40" t="s">
        <v>981</v>
      </c>
      <c r="F40" t="s">
        <v>982</v>
      </c>
      <c r="G40" s="1">
        <v>38915</v>
      </c>
      <c r="H40" t="str">
        <f t="shared" si="2"/>
        <v>High</v>
      </c>
      <c r="I40">
        <f t="shared" si="3"/>
        <v>39234</v>
      </c>
    </row>
    <row r="41" spans="1:9" x14ac:dyDescent="0.25">
      <c r="A41" t="s">
        <v>1023</v>
      </c>
      <c r="B41">
        <v>8927</v>
      </c>
      <c r="C41">
        <v>702</v>
      </c>
      <c r="D41">
        <v>74222</v>
      </c>
      <c r="E41" t="s">
        <v>981</v>
      </c>
      <c r="F41" t="s">
        <v>987</v>
      </c>
      <c r="G41" s="1">
        <v>38311</v>
      </c>
      <c r="H41" t="str">
        <f t="shared" si="2"/>
        <v>High</v>
      </c>
      <c r="I41">
        <f t="shared" si="3"/>
        <v>74222</v>
      </c>
    </row>
    <row r="42" spans="1:9" x14ac:dyDescent="0.25">
      <c r="A42" t="s">
        <v>1024</v>
      </c>
      <c r="B42">
        <v>249</v>
      </c>
      <c r="C42">
        <v>284</v>
      </c>
      <c r="D42">
        <v>47260</v>
      </c>
      <c r="E42" t="s">
        <v>981</v>
      </c>
      <c r="F42" t="s">
        <v>982</v>
      </c>
      <c r="G42" s="1">
        <v>30018</v>
      </c>
      <c r="H42" t="str">
        <f t="shared" si="2"/>
        <v>High</v>
      </c>
      <c r="I42">
        <f t="shared" si="3"/>
        <v>47260</v>
      </c>
    </row>
    <row r="43" spans="1:9" x14ac:dyDescent="0.25">
      <c r="A43" t="s">
        <v>1025</v>
      </c>
      <c r="B43">
        <v>2620</v>
      </c>
      <c r="C43">
        <v>199</v>
      </c>
      <c r="D43">
        <v>45432</v>
      </c>
      <c r="E43" t="s">
        <v>985</v>
      </c>
      <c r="F43" t="s">
        <v>987</v>
      </c>
      <c r="G43" s="1"/>
      <c r="H43" t="str">
        <f t="shared" si="2"/>
        <v>High</v>
      </c>
      <c r="I43">
        <f t="shared" si="3"/>
        <v>45432</v>
      </c>
    </row>
    <row r="44" spans="1:9" x14ac:dyDescent="0.25">
      <c r="A44" t="s">
        <v>1026</v>
      </c>
      <c r="B44">
        <v>1164</v>
      </c>
      <c r="C44">
        <v>228</v>
      </c>
      <c r="D44">
        <v>30192</v>
      </c>
      <c r="E44" t="s">
        <v>981</v>
      </c>
      <c r="F44" t="s">
        <v>987</v>
      </c>
      <c r="G44" s="1">
        <v>34433</v>
      </c>
      <c r="H44" t="str">
        <f t="shared" si="2"/>
        <v>High</v>
      </c>
      <c r="I44">
        <f t="shared" si="3"/>
        <v>30192</v>
      </c>
    </row>
    <row r="45" spans="1:9" x14ac:dyDescent="0.25">
      <c r="A45" t="s">
        <v>1027</v>
      </c>
      <c r="B45">
        <v>4711</v>
      </c>
      <c r="C45">
        <v>908</v>
      </c>
      <c r="D45">
        <v>53868</v>
      </c>
      <c r="E45" t="s">
        <v>985</v>
      </c>
      <c r="F45" t="s">
        <v>982</v>
      </c>
      <c r="G45" s="1"/>
      <c r="H45" t="str">
        <f t="shared" si="2"/>
        <v>High</v>
      </c>
      <c r="I45">
        <f t="shared" si="3"/>
        <v>53868</v>
      </c>
    </row>
    <row r="46" spans="1:9" x14ac:dyDescent="0.25">
      <c r="A46" t="s">
        <v>1028</v>
      </c>
      <c r="B46">
        <v>4053</v>
      </c>
      <c r="C46">
        <v>594</v>
      </c>
      <c r="D46">
        <v>9691</v>
      </c>
      <c r="E46" t="s">
        <v>985</v>
      </c>
      <c r="F46" t="s">
        <v>982</v>
      </c>
      <c r="G46" s="1"/>
      <c r="H46" t="str">
        <f t="shared" si="2"/>
        <v>High</v>
      </c>
      <c r="I46">
        <f t="shared" si="3"/>
        <v>9691</v>
      </c>
    </row>
    <row r="47" spans="1:9" x14ac:dyDescent="0.25">
      <c r="A47" t="s">
        <v>1029</v>
      </c>
      <c r="B47">
        <v>4272</v>
      </c>
      <c r="C47">
        <v>542</v>
      </c>
      <c r="D47">
        <v>39001</v>
      </c>
      <c r="E47" t="s">
        <v>985</v>
      </c>
      <c r="F47" t="s">
        <v>987</v>
      </c>
      <c r="G47" s="1"/>
      <c r="H47" t="str">
        <f t="shared" si="2"/>
        <v>High</v>
      </c>
      <c r="I47">
        <f t="shared" si="3"/>
        <v>39001</v>
      </c>
    </row>
    <row r="48" spans="1:9" x14ac:dyDescent="0.25">
      <c r="A48" t="s">
        <v>1030</v>
      </c>
      <c r="B48">
        <v>7005</v>
      </c>
      <c r="C48">
        <v>586</v>
      </c>
      <c r="D48">
        <v>70814</v>
      </c>
      <c r="E48" t="s">
        <v>985</v>
      </c>
      <c r="F48" t="s">
        <v>982</v>
      </c>
      <c r="G48" s="1"/>
      <c r="H48" t="str">
        <f t="shared" si="2"/>
        <v>High</v>
      </c>
      <c r="I48">
        <f t="shared" si="3"/>
        <v>70814</v>
      </c>
    </row>
    <row r="49" spans="1:9" x14ac:dyDescent="0.25">
      <c r="A49" t="s">
        <v>1031</v>
      </c>
      <c r="B49">
        <v>2308</v>
      </c>
      <c r="C49">
        <v>636</v>
      </c>
      <c r="D49">
        <v>13740</v>
      </c>
      <c r="E49" t="s">
        <v>981</v>
      </c>
      <c r="F49" t="s">
        <v>987</v>
      </c>
      <c r="G49" s="1">
        <v>39669</v>
      </c>
      <c r="H49" t="str">
        <f t="shared" si="2"/>
        <v>High</v>
      </c>
      <c r="I49">
        <f t="shared" si="3"/>
        <v>13740</v>
      </c>
    </row>
    <row r="50" spans="1:9" x14ac:dyDescent="0.25">
      <c r="A50" t="s">
        <v>1032</v>
      </c>
      <c r="B50">
        <v>5150</v>
      </c>
      <c r="C50">
        <v>581</v>
      </c>
      <c r="D50">
        <v>33435</v>
      </c>
      <c r="E50" t="s">
        <v>985</v>
      </c>
      <c r="F50" t="s">
        <v>982</v>
      </c>
      <c r="G50" s="1"/>
      <c r="H50" t="str">
        <f t="shared" si="2"/>
        <v>High</v>
      </c>
      <c r="I50">
        <f t="shared" si="3"/>
        <v>33435</v>
      </c>
    </row>
    <row r="51" spans="1:9" x14ac:dyDescent="0.25">
      <c r="A51" t="s">
        <v>1033</v>
      </c>
      <c r="B51">
        <v>693</v>
      </c>
      <c r="C51">
        <v>336</v>
      </c>
      <c r="D51">
        <v>73589</v>
      </c>
      <c r="E51" t="s">
        <v>985</v>
      </c>
      <c r="F51" t="s">
        <v>982</v>
      </c>
      <c r="G51" s="1"/>
      <c r="H51" t="str">
        <f t="shared" si="2"/>
        <v>High</v>
      </c>
      <c r="I51">
        <f t="shared" si="3"/>
        <v>73589</v>
      </c>
    </row>
    <row r="52" spans="1:9" x14ac:dyDescent="0.25">
      <c r="A52" t="s">
        <v>1034</v>
      </c>
      <c r="B52">
        <v>9598</v>
      </c>
      <c r="C52">
        <v>504</v>
      </c>
      <c r="D52">
        <v>18598</v>
      </c>
      <c r="E52" t="s">
        <v>981</v>
      </c>
      <c r="F52" t="s">
        <v>987</v>
      </c>
      <c r="G52" s="1">
        <v>30239</v>
      </c>
      <c r="H52" t="str">
        <f t="shared" si="2"/>
        <v>High</v>
      </c>
      <c r="I52">
        <f t="shared" si="3"/>
        <v>18598</v>
      </c>
    </row>
    <row r="53" spans="1:9" x14ac:dyDescent="0.25">
      <c r="A53" t="s">
        <v>1035</v>
      </c>
      <c r="B53">
        <v>8103</v>
      </c>
      <c r="C53">
        <v>346</v>
      </c>
      <c r="D53">
        <v>23003</v>
      </c>
      <c r="E53" t="s">
        <v>981</v>
      </c>
      <c r="F53" t="s">
        <v>982</v>
      </c>
      <c r="G53" s="1">
        <v>39275</v>
      </c>
      <c r="H53" t="str">
        <f t="shared" si="2"/>
        <v>High</v>
      </c>
      <c r="I53">
        <f t="shared" si="3"/>
        <v>23003</v>
      </c>
    </row>
    <row r="54" spans="1:9" x14ac:dyDescent="0.25">
      <c r="A54" t="s">
        <v>1036</v>
      </c>
      <c r="B54">
        <v>8894</v>
      </c>
      <c r="C54">
        <v>135</v>
      </c>
      <c r="D54">
        <v>80901</v>
      </c>
      <c r="E54" t="s">
        <v>985</v>
      </c>
      <c r="F54" t="s">
        <v>982</v>
      </c>
      <c r="G54" s="1"/>
      <c r="H54" t="str">
        <f t="shared" si="2"/>
        <v>High</v>
      </c>
      <c r="I54">
        <f t="shared" si="3"/>
        <v>80901</v>
      </c>
    </row>
    <row r="55" spans="1:9" x14ac:dyDescent="0.25">
      <c r="A55" t="s">
        <v>1037</v>
      </c>
      <c r="B55">
        <v>114</v>
      </c>
      <c r="C55">
        <v>822</v>
      </c>
      <c r="D55">
        <v>69113</v>
      </c>
      <c r="E55" t="s">
        <v>981</v>
      </c>
      <c r="F55" t="s">
        <v>987</v>
      </c>
      <c r="G55" s="1">
        <v>33434</v>
      </c>
      <c r="H55" t="str">
        <f t="shared" si="2"/>
        <v>High</v>
      </c>
      <c r="I55">
        <f t="shared" si="3"/>
        <v>69113</v>
      </c>
    </row>
    <row r="56" spans="1:9" x14ac:dyDescent="0.25">
      <c r="A56" t="s">
        <v>1038</v>
      </c>
      <c r="B56">
        <v>6546</v>
      </c>
      <c r="C56">
        <v>95</v>
      </c>
      <c r="D56">
        <v>26060</v>
      </c>
      <c r="E56" t="s">
        <v>985</v>
      </c>
      <c r="F56" t="s">
        <v>987</v>
      </c>
      <c r="G56" s="1"/>
      <c r="H56" t="str">
        <f t="shared" si="2"/>
        <v>High</v>
      </c>
      <c r="I56">
        <f t="shared" si="3"/>
        <v>26060</v>
      </c>
    </row>
    <row r="57" spans="1:9" x14ac:dyDescent="0.25">
      <c r="A57" t="s">
        <v>1039</v>
      </c>
      <c r="B57">
        <v>3571</v>
      </c>
      <c r="C57">
        <v>597</v>
      </c>
      <c r="D57">
        <v>25677</v>
      </c>
      <c r="E57" t="s">
        <v>985</v>
      </c>
      <c r="F57" t="s">
        <v>982</v>
      </c>
      <c r="G57" s="1"/>
      <c r="H57" t="str">
        <f t="shared" si="2"/>
        <v>High</v>
      </c>
      <c r="I57">
        <f t="shared" si="3"/>
        <v>25677</v>
      </c>
    </row>
    <row r="58" spans="1:9" x14ac:dyDescent="0.25">
      <c r="A58" t="s">
        <v>1040</v>
      </c>
      <c r="B58">
        <v>7316</v>
      </c>
      <c r="C58">
        <v>340</v>
      </c>
      <c r="D58">
        <v>62912</v>
      </c>
      <c r="E58" t="s">
        <v>985</v>
      </c>
      <c r="F58" t="s">
        <v>987</v>
      </c>
      <c r="G58" s="1"/>
      <c r="H58" t="str">
        <f t="shared" si="2"/>
        <v>High</v>
      </c>
      <c r="I58">
        <f t="shared" si="3"/>
        <v>62912</v>
      </c>
    </row>
    <row r="59" spans="1:9" x14ac:dyDescent="0.25">
      <c r="A59" t="s">
        <v>1041</v>
      </c>
      <c r="B59">
        <v>2478</v>
      </c>
      <c r="C59">
        <v>905</v>
      </c>
      <c r="D59">
        <v>77649</v>
      </c>
      <c r="E59" t="s">
        <v>981</v>
      </c>
      <c r="F59" t="s">
        <v>982</v>
      </c>
      <c r="G59" s="1">
        <v>30589</v>
      </c>
      <c r="H59" t="str">
        <f t="shared" si="2"/>
        <v>High</v>
      </c>
      <c r="I59">
        <f t="shared" si="3"/>
        <v>77649</v>
      </c>
    </row>
    <row r="60" spans="1:9" x14ac:dyDescent="0.25">
      <c r="A60" t="s">
        <v>1042</v>
      </c>
      <c r="B60">
        <v>1215</v>
      </c>
      <c r="C60">
        <v>250</v>
      </c>
      <c r="D60">
        <v>73561</v>
      </c>
      <c r="E60" t="s">
        <v>981</v>
      </c>
      <c r="F60" t="s">
        <v>987</v>
      </c>
      <c r="G60" s="1">
        <v>39012</v>
      </c>
      <c r="H60" t="str">
        <f t="shared" si="2"/>
        <v>High</v>
      </c>
      <c r="I60">
        <f t="shared" si="3"/>
        <v>73561</v>
      </c>
    </row>
    <row r="61" spans="1:9" x14ac:dyDescent="0.25">
      <c r="A61" t="s">
        <v>1043</v>
      </c>
      <c r="B61">
        <v>5402</v>
      </c>
      <c r="C61">
        <v>400</v>
      </c>
      <c r="D61">
        <v>50357</v>
      </c>
      <c r="E61" t="s">
        <v>985</v>
      </c>
      <c r="F61" t="s">
        <v>987</v>
      </c>
      <c r="G61" s="1"/>
      <c r="H61" t="str">
        <f t="shared" si="2"/>
        <v>High</v>
      </c>
      <c r="I61">
        <f t="shared" si="3"/>
        <v>50357</v>
      </c>
    </row>
    <row r="62" spans="1:9" x14ac:dyDescent="0.25">
      <c r="A62" t="s">
        <v>1044</v>
      </c>
      <c r="B62">
        <v>1647</v>
      </c>
      <c r="C62">
        <v>877</v>
      </c>
      <c r="D62">
        <v>61325</v>
      </c>
      <c r="E62" t="s">
        <v>981</v>
      </c>
      <c r="F62" t="s">
        <v>982</v>
      </c>
      <c r="G62" s="1">
        <v>36607</v>
      </c>
      <c r="H62" t="str">
        <f t="shared" si="2"/>
        <v>High</v>
      </c>
      <c r="I62">
        <f t="shared" si="3"/>
        <v>61325</v>
      </c>
    </row>
    <row r="63" spans="1:9" x14ac:dyDescent="0.25">
      <c r="A63" t="s">
        <v>1045</v>
      </c>
      <c r="B63">
        <v>9423</v>
      </c>
      <c r="C63">
        <v>97</v>
      </c>
      <c r="D63">
        <v>76658</v>
      </c>
      <c r="E63" t="s">
        <v>985</v>
      </c>
      <c r="F63" t="s">
        <v>987</v>
      </c>
      <c r="G63" s="1"/>
      <c r="H63" t="str">
        <f t="shared" si="2"/>
        <v>High</v>
      </c>
      <c r="I63">
        <f t="shared" si="3"/>
        <v>76658</v>
      </c>
    </row>
    <row r="64" spans="1:9" x14ac:dyDescent="0.25">
      <c r="A64" t="s">
        <v>1046</v>
      </c>
      <c r="B64">
        <v>6404</v>
      </c>
      <c r="C64">
        <v>12</v>
      </c>
      <c r="D64">
        <v>35525</v>
      </c>
      <c r="E64" t="s">
        <v>985</v>
      </c>
      <c r="F64" t="s">
        <v>987</v>
      </c>
      <c r="G64" s="1"/>
      <c r="H64" t="str">
        <f t="shared" si="2"/>
        <v>High</v>
      </c>
      <c r="I64">
        <f t="shared" si="3"/>
        <v>35525</v>
      </c>
    </row>
    <row r="65" spans="1:9" x14ac:dyDescent="0.25">
      <c r="A65" t="s">
        <v>1047</v>
      </c>
      <c r="B65">
        <v>6767</v>
      </c>
      <c r="C65">
        <v>353</v>
      </c>
      <c r="D65">
        <v>12462</v>
      </c>
      <c r="E65" t="s">
        <v>981</v>
      </c>
      <c r="F65" t="s">
        <v>987</v>
      </c>
      <c r="G65" s="1">
        <v>41186</v>
      </c>
      <c r="H65" t="str">
        <f t="shared" si="2"/>
        <v>High</v>
      </c>
      <c r="I65">
        <f t="shared" si="3"/>
        <v>12462</v>
      </c>
    </row>
    <row r="66" spans="1:9" x14ac:dyDescent="0.25">
      <c r="A66" t="s">
        <v>1048</v>
      </c>
      <c r="B66">
        <v>1278</v>
      </c>
      <c r="C66">
        <v>856</v>
      </c>
      <c r="D66">
        <v>27105</v>
      </c>
      <c r="E66" t="s">
        <v>981</v>
      </c>
      <c r="F66" t="s">
        <v>987</v>
      </c>
      <c r="G66" s="1">
        <v>28437</v>
      </c>
      <c r="H66" t="str">
        <f t="shared" ref="H66:H97" si="4">IF(D66&gt;7000,"High",IF(D66&gt;3000,"Medium","Low"))</f>
        <v>High</v>
      </c>
      <c r="I66">
        <f t="shared" ref="I66:I97" si="5">SUMIF(B:B,B66,D:D)</f>
        <v>27105</v>
      </c>
    </row>
    <row r="67" spans="1:9" x14ac:dyDescent="0.25">
      <c r="A67" t="s">
        <v>1049</v>
      </c>
      <c r="B67">
        <v>1334</v>
      </c>
      <c r="C67">
        <v>1</v>
      </c>
      <c r="D67">
        <v>99604</v>
      </c>
      <c r="E67" t="s">
        <v>981</v>
      </c>
      <c r="F67" t="s">
        <v>987</v>
      </c>
      <c r="G67" s="1">
        <v>40512</v>
      </c>
      <c r="H67" t="str">
        <f t="shared" si="4"/>
        <v>High</v>
      </c>
      <c r="I67">
        <f t="shared" si="5"/>
        <v>99604</v>
      </c>
    </row>
    <row r="68" spans="1:9" x14ac:dyDescent="0.25">
      <c r="A68" t="s">
        <v>1050</v>
      </c>
      <c r="B68">
        <v>8887</v>
      </c>
      <c r="C68">
        <v>390</v>
      </c>
      <c r="D68">
        <v>90449</v>
      </c>
      <c r="E68" t="s">
        <v>981</v>
      </c>
      <c r="F68" t="s">
        <v>982</v>
      </c>
      <c r="G68" s="1">
        <v>39881</v>
      </c>
      <c r="H68" t="str">
        <f t="shared" si="4"/>
        <v>High</v>
      </c>
      <c r="I68">
        <f t="shared" si="5"/>
        <v>90449</v>
      </c>
    </row>
    <row r="69" spans="1:9" x14ac:dyDescent="0.25">
      <c r="A69" t="s">
        <v>1051</v>
      </c>
      <c r="B69">
        <v>9858</v>
      </c>
      <c r="C69">
        <v>446</v>
      </c>
      <c r="D69">
        <v>9520</v>
      </c>
      <c r="E69" t="s">
        <v>985</v>
      </c>
      <c r="F69" t="s">
        <v>987</v>
      </c>
      <c r="G69" s="1"/>
      <c r="H69" t="str">
        <f t="shared" si="4"/>
        <v>High</v>
      </c>
      <c r="I69">
        <f t="shared" si="5"/>
        <v>9520</v>
      </c>
    </row>
    <row r="70" spans="1:9" x14ac:dyDescent="0.25">
      <c r="A70" t="s">
        <v>1052</v>
      </c>
      <c r="B70">
        <v>9636</v>
      </c>
      <c r="C70">
        <v>32</v>
      </c>
      <c r="D70">
        <v>42210</v>
      </c>
      <c r="E70" t="s">
        <v>985</v>
      </c>
      <c r="F70" t="s">
        <v>982</v>
      </c>
      <c r="G70" s="1"/>
      <c r="H70" t="str">
        <f t="shared" si="4"/>
        <v>High</v>
      </c>
      <c r="I70">
        <f t="shared" si="5"/>
        <v>42210</v>
      </c>
    </row>
    <row r="71" spans="1:9" x14ac:dyDescent="0.25">
      <c r="A71" t="s">
        <v>1053</v>
      </c>
      <c r="B71">
        <v>9943</v>
      </c>
      <c r="C71">
        <v>420</v>
      </c>
      <c r="D71">
        <v>21639</v>
      </c>
      <c r="E71" t="s">
        <v>985</v>
      </c>
      <c r="F71" t="s">
        <v>987</v>
      </c>
      <c r="G71" s="1"/>
      <c r="H71" t="str">
        <f t="shared" si="4"/>
        <v>High</v>
      </c>
      <c r="I71">
        <f t="shared" si="5"/>
        <v>21639</v>
      </c>
    </row>
    <row r="72" spans="1:9" x14ac:dyDescent="0.25">
      <c r="A72" t="s">
        <v>1054</v>
      </c>
      <c r="B72">
        <v>1246</v>
      </c>
      <c r="C72">
        <v>708</v>
      </c>
      <c r="D72">
        <v>58736</v>
      </c>
      <c r="E72" t="s">
        <v>981</v>
      </c>
      <c r="F72" t="s">
        <v>987</v>
      </c>
      <c r="G72" s="1">
        <v>43677</v>
      </c>
      <c r="H72" t="str">
        <f t="shared" si="4"/>
        <v>High</v>
      </c>
      <c r="I72">
        <f t="shared" si="5"/>
        <v>58736</v>
      </c>
    </row>
    <row r="73" spans="1:9" x14ac:dyDescent="0.25">
      <c r="A73" t="s">
        <v>1055</v>
      </c>
      <c r="B73">
        <v>4527</v>
      </c>
      <c r="C73">
        <v>227</v>
      </c>
      <c r="D73">
        <v>3951</v>
      </c>
      <c r="E73" t="s">
        <v>981</v>
      </c>
      <c r="F73" t="s">
        <v>982</v>
      </c>
      <c r="G73" s="1">
        <v>37261</v>
      </c>
      <c r="H73" t="str">
        <f t="shared" si="4"/>
        <v>Medium</v>
      </c>
      <c r="I73">
        <f t="shared" si="5"/>
        <v>3951</v>
      </c>
    </row>
    <row r="74" spans="1:9" x14ac:dyDescent="0.25">
      <c r="A74" t="s">
        <v>1056</v>
      </c>
      <c r="B74">
        <v>3782</v>
      </c>
      <c r="C74">
        <v>595</v>
      </c>
      <c r="D74">
        <v>69479</v>
      </c>
      <c r="E74" t="s">
        <v>985</v>
      </c>
      <c r="F74" t="s">
        <v>982</v>
      </c>
      <c r="G74" s="1"/>
      <c r="H74" t="str">
        <f t="shared" si="4"/>
        <v>High</v>
      </c>
      <c r="I74">
        <f t="shared" si="5"/>
        <v>69479</v>
      </c>
    </row>
    <row r="75" spans="1:9" x14ac:dyDescent="0.25">
      <c r="A75" t="s">
        <v>1057</v>
      </c>
      <c r="B75">
        <v>6225</v>
      </c>
      <c r="C75">
        <v>211</v>
      </c>
      <c r="D75">
        <v>10366</v>
      </c>
      <c r="E75" t="s">
        <v>981</v>
      </c>
      <c r="F75" t="s">
        <v>987</v>
      </c>
      <c r="G75" s="1">
        <v>39074</v>
      </c>
      <c r="H75" t="str">
        <f t="shared" si="4"/>
        <v>High</v>
      </c>
      <c r="I75">
        <f t="shared" si="5"/>
        <v>10366</v>
      </c>
    </row>
    <row r="76" spans="1:9" x14ac:dyDescent="0.25">
      <c r="A76" t="s">
        <v>1058</v>
      </c>
      <c r="B76">
        <v>2257</v>
      </c>
      <c r="C76">
        <v>650</v>
      </c>
      <c r="D76">
        <v>10001</v>
      </c>
      <c r="E76" t="s">
        <v>985</v>
      </c>
      <c r="F76" t="s">
        <v>982</v>
      </c>
      <c r="G76" s="1"/>
      <c r="H76" t="str">
        <f t="shared" si="4"/>
        <v>High</v>
      </c>
      <c r="I76">
        <f t="shared" si="5"/>
        <v>10001</v>
      </c>
    </row>
    <row r="77" spans="1:9" x14ac:dyDescent="0.25">
      <c r="A77" t="s">
        <v>1059</v>
      </c>
      <c r="B77">
        <v>9177</v>
      </c>
      <c r="C77">
        <v>45</v>
      </c>
      <c r="D77">
        <v>15307</v>
      </c>
      <c r="E77" t="s">
        <v>981</v>
      </c>
      <c r="F77" t="s">
        <v>982</v>
      </c>
      <c r="G77" s="1">
        <v>35186</v>
      </c>
      <c r="H77" t="str">
        <f t="shared" si="4"/>
        <v>High</v>
      </c>
      <c r="I77">
        <f t="shared" si="5"/>
        <v>15307</v>
      </c>
    </row>
    <row r="78" spans="1:9" x14ac:dyDescent="0.25">
      <c r="A78" t="s">
        <v>1060</v>
      </c>
      <c r="B78">
        <v>8703</v>
      </c>
      <c r="C78">
        <v>201</v>
      </c>
      <c r="D78">
        <v>68923</v>
      </c>
      <c r="E78" t="s">
        <v>985</v>
      </c>
      <c r="F78" t="s">
        <v>982</v>
      </c>
      <c r="G78" s="1"/>
      <c r="H78" t="str">
        <f t="shared" si="4"/>
        <v>High</v>
      </c>
      <c r="I78">
        <f t="shared" si="5"/>
        <v>68923</v>
      </c>
    </row>
    <row r="79" spans="1:9" x14ac:dyDescent="0.25">
      <c r="A79" t="s">
        <v>1061</v>
      </c>
      <c r="B79">
        <v>3514</v>
      </c>
      <c r="C79">
        <v>564</v>
      </c>
      <c r="D79">
        <v>59651</v>
      </c>
      <c r="E79" t="s">
        <v>981</v>
      </c>
      <c r="F79" t="s">
        <v>987</v>
      </c>
      <c r="G79" s="1">
        <v>38255</v>
      </c>
      <c r="H79" t="str">
        <f t="shared" si="4"/>
        <v>High</v>
      </c>
      <c r="I79">
        <f t="shared" si="5"/>
        <v>59651</v>
      </c>
    </row>
    <row r="80" spans="1:9" x14ac:dyDescent="0.25">
      <c r="A80" t="s">
        <v>1062</v>
      </c>
      <c r="B80">
        <v>3089</v>
      </c>
      <c r="C80">
        <v>138</v>
      </c>
      <c r="D80">
        <v>78953</v>
      </c>
      <c r="E80" t="s">
        <v>985</v>
      </c>
      <c r="F80" t="s">
        <v>982</v>
      </c>
      <c r="G80" s="1"/>
      <c r="H80" t="str">
        <f t="shared" si="4"/>
        <v>High</v>
      </c>
      <c r="I80">
        <f t="shared" si="5"/>
        <v>78953</v>
      </c>
    </row>
    <row r="81" spans="1:9" x14ac:dyDescent="0.25">
      <c r="A81" t="s">
        <v>1063</v>
      </c>
      <c r="B81">
        <v>7253</v>
      </c>
      <c r="C81">
        <v>57</v>
      </c>
      <c r="D81">
        <v>89420</v>
      </c>
      <c r="E81" t="s">
        <v>981</v>
      </c>
      <c r="F81" t="s">
        <v>987</v>
      </c>
      <c r="G81" s="1">
        <v>38048</v>
      </c>
      <c r="H81" t="str">
        <f t="shared" si="4"/>
        <v>High</v>
      </c>
      <c r="I81">
        <f t="shared" si="5"/>
        <v>89420</v>
      </c>
    </row>
    <row r="82" spans="1:9" x14ac:dyDescent="0.25">
      <c r="A82" t="s">
        <v>1064</v>
      </c>
      <c r="B82">
        <v>8786</v>
      </c>
      <c r="C82">
        <v>128</v>
      </c>
      <c r="D82">
        <v>50374</v>
      </c>
      <c r="E82" t="s">
        <v>985</v>
      </c>
      <c r="F82" t="s">
        <v>982</v>
      </c>
      <c r="G82" s="1"/>
      <c r="H82" t="str">
        <f t="shared" si="4"/>
        <v>High</v>
      </c>
      <c r="I82">
        <f t="shared" si="5"/>
        <v>50374</v>
      </c>
    </row>
    <row r="83" spans="1:9" x14ac:dyDescent="0.25">
      <c r="A83" t="s">
        <v>1065</v>
      </c>
      <c r="B83">
        <v>1211</v>
      </c>
      <c r="C83">
        <v>33</v>
      </c>
      <c r="D83">
        <v>83102</v>
      </c>
      <c r="E83" t="s">
        <v>985</v>
      </c>
      <c r="F83" t="s">
        <v>987</v>
      </c>
      <c r="G83" s="1"/>
      <c r="H83" t="str">
        <f t="shared" si="4"/>
        <v>High</v>
      </c>
      <c r="I83">
        <f t="shared" si="5"/>
        <v>83102</v>
      </c>
    </row>
    <row r="84" spans="1:9" x14ac:dyDescent="0.25">
      <c r="A84" t="s">
        <v>1066</v>
      </c>
      <c r="B84">
        <v>359</v>
      </c>
      <c r="C84">
        <v>936</v>
      </c>
      <c r="D84">
        <v>62151</v>
      </c>
      <c r="E84" t="s">
        <v>985</v>
      </c>
      <c r="F84" t="s">
        <v>987</v>
      </c>
      <c r="G84" s="1"/>
      <c r="H84" t="str">
        <f t="shared" si="4"/>
        <v>High</v>
      </c>
      <c r="I84">
        <f t="shared" si="5"/>
        <v>62151</v>
      </c>
    </row>
    <row r="85" spans="1:9" x14ac:dyDescent="0.25">
      <c r="A85" t="s">
        <v>1067</v>
      </c>
      <c r="B85">
        <v>2066</v>
      </c>
      <c r="C85">
        <v>762</v>
      </c>
      <c r="D85">
        <v>84665</v>
      </c>
      <c r="E85" t="s">
        <v>985</v>
      </c>
      <c r="F85" t="s">
        <v>987</v>
      </c>
      <c r="G85" s="1"/>
      <c r="H85" t="str">
        <f t="shared" si="4"/>
        <v>High</v>
      </c>
      <c r="I85">
        <f t="shared" si="5"/>
        <v>84665</v>
      </c>
    </row>
    <row r="86" spans="1:9" x14ac:dyDescent="0.25">
      <c r="A86" t="s">
        <v>1068</v>
      </c>
      <c r="B86">
        <v>4322</v>
      </c>
      <c r="C86">
        <v>838</v>
      </c>
      <c r="D86">
        <v>1760</v>
      </c>
      <c r="E86" t="s">
        <v>981</v>
      </c>
      <c r="F86" t="s">
        <v>987</v>
      </c>
      <c r="G86" s="1">
        <v>34934</v>
      </c>
      <c r="H86" t="str">
        <f t="shared" si="4"/>
        <v>Low</v>
      </c>
      <c r="I86">
        <f t="shared" si="5"/>
        <v>1760</v>
      </c>
    </row>
    <row r="87" spans="1:9" x14ac:dyDescent="0.25">
      <c r="A87" t="s">
        <v>1069</v>
      </c>
      <c r="B87">
        <v>7773</v>
      </c>
      <c r="C87">
        <v>215</v>
      </c>
      <c r="D87">
        <v>30239</v>
      </c>
      <c r="E87" t="s">
        <v>981</v>
      </c>
      <c r="F87" t="s">
        <v>987</v>
      </c>
      <c r="G87" s="1">
        <v>31078</v>
      </c>
      <c r="H87" t="str">
        <f t="shared" si="4"/>
        <v>High</v>
      </c>
      <c r="I87">
        <f t="shared" si="5"/>
        <v>30239</v>
      </c>
    </row>
    <row r="88" spans="1:9" x14ac:dyDescent="0.25">
      <c r="A88" t="s">
        <v>1070</v>
      </c>
      <c r="B88">
        <v>6746</v>
      </c>
      <c r="C88">
        <v>818</v>
      </c>
      <c r="D88">
        <v>20194</v>
      </c>
      <c r="E88" t="s">
        <v>981</v>
      </c>
      <c r="F88" t="s">
        <v>987</v>
      </c>
      <c r="G88" s="1">
        <v>39010</v>
      </c>
      <c r="H88" t="str">
        <f t="shared" si="4"/>
        <v>High</v>
      </c>
      <c r="I88">
        <f t="shared" si="5"/>
        <v>20194</v>
      </c>
    </row>
    <row r="89" spans="1:9" x14ac:dyDescent="0.25">
      <c r="A89" t="s">
        <v>1071</v>
      </c>
      <c r="B89">
        <v>6732</v>
      </c>
      <c r="C89">
        <v>780</v>
      </c>
      <c r="D89">
        <v>58470</v>
      </c>
      <c r="E89" t="s">
        <v>981</v>
      </c>
      <c r="F89" t="s">
        <v>987</v>
      </c>
      <c r="G89" s="1">
        <v>32798</v>
      </c>
      <c r="H89" t="str">
        <f t="shared" si="4"/>
        <v>High</v>
      </c>
      <c r="I89">
        <f t="shared" si="5"/>
        <v>58470</v>
      </c>
    </row>
    <row r="90" spans="1:9" x14ac:dyDescent="0.25">
      <c r="A90" t="s">
        <v>1072</v>
      </c>
      <c r="B90">
        <v>805</v>
      </c>
      <c r="C90">
        <v>40</v>
      </c>
      <c r="D90">
        <v>91926</v>
      </c>
      <c r="E90" t="s">
        <v>985</v>
      </c>
      <c r="F90" t="s">
        <v>987</v>
      </c>
      <c r="G90" s="1"/>
      <c r="H90" t="str">
        <f t="shared" si="4"/>
        <v>High</v>
      </c>
      <c r="I90">
        <f t="shared" si="5"/>
        <v>91926</v>
      </c>
    </row>
    <row r="91" spans="1:9" x14ac:dyDescent="0.25">
      <c r="A91" t="s">
        <v>1073</v>
      </c>
      <c r="B91">
        <v>7540</v>
      </c>
      <c r="C91">
        <v>366</v>
      </c>
      <c r="D91">
        <v>34797</v>
      </c>
      <c r="E91" t="s">
        <v>981</v>
      </c>
      <c r="F91" t="s">
        <v>987</v>
      </c>
      <c r="G91" s="1">
        <v>29296</v>
      </c>
      <c r="H91" t="str">
        <f t="shared" si="4"/>
        <v>High</v>
      </c>
      <c r="I91">
        <f t="shared" si="5"/>
        <v>34797</v>
      </c>
    </row>
    <row r="92" spans="1:9" x14ac:dyDescent="0.25">
      <c r="A92" t="s">
        <v>1074</v>
      </c>
      <c r="B92">
        <v>5269</v>
      </c>
      <c r="C92">
        <v>678</v>
      </c>
      <c r="D92">
        <v>19346</v>
      </c>
      <c r="E92" t="s">
        <v>985</v>
      </c>
      <c r="F92" t="s">
        <v>987</v>
      </c>
      <c r="G92" s="1"/>
      <c r="H92" t="str">
        <f t="shared" si="4"/>
        <v>High</v>
      </c>
      <c r="I92">
        <f t="shared" si="5"/>
        <v>19346</v>
      </c>
    </row>
    <row r="93" spans="1:9" x14ac:dyDescent="0.25">
      <c r="A93" t="s">
        <v>1075</v>
      </c>
      <c r="B93">
        <v>8404</v>
      </c>
      <c r="C93">
        <v>703</v>
      </c>
      <c r="D93">
        <v>35185</v>
      </c>
      <c r="E93" t="s">
        <v>985</v>
      </c>
      <c r="F93" t="s">
        <v>987</v>
      </c>
      <c r="G93" s="1"/>
      <c r="H93" t="str">
        <f t="shared" si="4"/>
        <v>High</v>
      </c>
      <c r="I93">
        <f t="shared" si="5"/>
        <v>35185</v>
      </c>
    </row>
    <row r="94" spans="1:9" x14ac:dyDescent="0.25">
      <c r="A94" t="s">
        <v>1076</v>
      </c>
      <c r="B94">
        <v>519</v>
      </c>
      <c r="C94">
        <v>180</v>
      </c>
      <c r="D94">
        <v>7068</v>
      </c>
      <c r="E94" t="s">
        <v>985</v>
      </c>
      <c r="F94" t="s">
        <v>982</v>
      </c>
      <c r="G94" s="1"/>
      <c r="H94" t="str">
        <f t="shared" si="4"/>
        <v>High</v>
      </c>
      <c r="I94">
        <f t="shared" si="5"/>
        <v>7068</v>
      </c>
    </row>
    <row r="95" spans="1:9" x14ac:dyDescent="0.25">
      <c r="A95" t="s">
        <v>1077</v>
      </c>
      <c r="B95">
        <v>4060</v>
      </c>
      <c r="C95">
        <v>214</v>
      </c>
      <c r="D95">
        <v>96496</v>
      </c>
      <c r="E95" t="s">
        <v>981</v>
      </c>
      <c r="F95" t="s">
        <v>982</v>
      </c>
      <c r="G95" s="1">
        <v>31998</v>
      </c>
      <c r="H95" t="str">
        <f t="shared" si="4"/>
        <v>High</v>
      </c>
      <c r="I95">
        <f t="shared" si="5"/>
        <v>96496</v>
      </c>
    </row>
    <row r="96" spans="1:9" x14ac:dyDescent="0.25">
      <c r="A96" t="s">
        <v>1078</v>
      </c>
      <c r="B96">
        <v>8860</v>
      </c>
      <c r="C96">
        <v>408</v>
      </c>
      <c r="D96">
        <v>2988</v>
      </c>
      <c r="E96" t="s">
        <v>981</v>
      </c>
      <c r="F96" t="s">
        <v>982</v>
      </c>
      <c r="G96" s="1">
        <v>33127</v>
      </c>
      <c r="H96" t="str">
        <f t="shared" si="4"/>
        <v>Low</v>
      </c>
      <c r="I96">
        <f t="shared" si="5"/>
        <v>2988</v>
      </c>
    </row>
    <row r="97" spans="1:9" x14ac:dyDescent="0.25">
      <c r="A97" t="s">
        <v>1079</v>
      </c>
      <c r="B97">
        <v>7164</v>
      </c>
      <c r="C97">
        <v>902</v>
      </c>
      <c r="D97">
        <v>83253</v>
      </c>
      <c r="E97" t="s">
        <v>981</v>
      </c>
      <c r="F97" t="s">
        <v>987</v>
      </c>
      <c r="G97" s="1">
        <v>32768</v>
      </c>
      <c r="H97" t="str">
        <f t="shared" si="4"/>
        <v>High</v>
      </c>
      <c r="I97">
        <f t="shared" si="5"/>
        <v>83253</v>
      </c>
    </row>
    <row r="98" spans="1:9" x14ac:dyDescent="0.25">
      <c r="A98" t="s">
        <v>1080</v>
      </c>
      <c r="B98">
        <v>9792</v>
      </c>
      <c r="C98">
        <v>763</v>
      </c>
      <c r="D98">
        <v>87828</v>
      </c>
      <c r="E98" t="s">
        <v>981</v>
      </c>
      <c r="F98" t="s">
        <v>987</v>
      </c>
      <c r="G98" s="1">
        <v>41891</v>
      </c>
      <c r="H98" t="str">
        <f t="shared" ref="H98:H129" si="6">IF(D98&gt;7000,"High",IF(D98&gt;3000,"Medium","Low"))</f>
        <v>High</v>
      </c>
      <c r="I98">
        <f t="shared" ref="I98:I129" si="7">SUMIF(B:B,B98,D:D)</f>
        <v>87828</v>
      </c>
    </row>
    <row r="99" spans="1:9" x14ac:dyDescent="0.25">
      <c r="A99" t="s">
        <v>1081</v>
      </c>
      <c r="B99">
        <v>9934</v>
      </c>
      <c r="C99">
        <v>168</v>
      </c>
      <c r="D99">
        <v>17035</v>
      </c>
      <c r="E99" t="s">
        <v>981</v>
      </c>
      <c r="F99" t="s">
        <v>987</v>
      </c>
      <c r="G99" s="1">
        <v>35593</v>
      </c>
      <c r="H99" t="str">
        <f t="shared" si="6"/>
        <v>High</v>
      </c>
      <c r="I99">
        <f t="shared" si="7"/>
        <v>17035</v>
      </c>
    </row>
    <row r="100" spans="1:9" x14ac:dyDescent="0.25">
      <c r="A100" t="s">
        <v>1082</v>
      </c>
      <c r="B100">
        <v>1980</v>
      </c>
      <c r="C100">
        <v>723</v>
      </c>
      <c r="D100">
        <v>426</v>
      </c>
      <c r="E100" t="s">
        <v>985</v>
      </c>
      <c r="F100" t="s">
        <v>987</v>
      </c>
      <c r="G100" s="1"/>
      <c r="H100" t="str">
        <f t="shared" si="6"/>
        <v>Low</v>
      </c>
      <c r="I100">
        <f t="shared" si="7"/>
        <v>426</v>
      </c>
    </row>
    <row r="101" spans="1:9" x14ac:dyDescent="0.25">
      <c r="A101" t="s">
        <v>1083</v>
      </c>
      <c r="B101">
        <v>9251</v>
      </c>
      <c r="C101">
        <v>438</v>
      </c>
      <c r="D101">
        <v>20238</v>
      </c>
      <c r="E101" t="s">
        <v>981</v>
      </c>
      <c r="F101" t="s">
        <v>987</v>
      </c>
      <c r="G101" s="1">
        <v>28214</v>
      </c>
      <c r="H101" t="str">
        <f t="shared" si="6"/>
        <v>High</v>
      </c>
      <c r="I101">
        <f t="shared" si="7"/>
        <v>20238</v>
      </c>
    </row>
    <row r="102" spans="1:9" x14ac:dyDescent="0.25">
      <c r="A102" t="s">
        <v>1084</v>
      </c>
      <c r="B102">
        <v>6717</v>
      </c>
      <c r="C102">
        <v>162</v>
      </c>
      <c r="D102">
        <v>68331</v>
      </c>
      <c r="E102" t="s">
        <v>981</v>
      </c>
      <c r="F102" t="s">
        <v>982</v>
      </c>
      <c r="G102" s="1">
        <v>30253</v>
      </c>
      <c r="H102" t="str">
        <f t="shared" si="6"/>
        <v>High</v>
      </c>
      <c r="I102">
        <f t="shared" si="7"/>
        <v>68331</v>
      </c>
    </row>
    <row r="103" spans="1:9" x14ac:dyDescent="0.25">
      <c r="A103" t="s">
        <v>1085</v>
      </c>
      <c r="B103">
        <v>3622</v>
      </c>
      <c r="C103">
        <v>246</v>
      </c>
      <c r="D103">
        <v>86132</v>
      </c>
      <c r="E103" t="s">
        <v>981</v>
      </c>
      <c r="F103" t="s">
        <v>982</v>
      </c>
      <c r="G103" s="1">
        <v>43525</v>
      </c>
      <c r="H103" t="str">
        <f t="shared" si="6"/>
        <v>High</v>
      </c>
      <c r="I103">
        <f t="shared" si="7"/>
        <v>86132</v>
      </c>
    </row>
    <row r="104" spans="1:9" x14ac:dyDescent="0.25">
      <c r="A104" t="s">
        <v>1086</v>
      </c>
      <c r="B104">
        <v>8808</v>
      </c>
      <c r="C104">
        <v>105</v>
      </c>
      <c r="D104">
        <v>766</v>
      </c>
      <c r="E104" t="s">
        <v>985</v>
      </c>
      <c r="F104" t="s">
        <v>982</v>
      </c>
      <c r="G104" s="1"/>
      <c r="H104" t="str">
        <f t="shared" si="6"/>
        <v>Low</v>
      </c>
      <c r="I104">
        <f t="shared" si="7"/>
        <v>766</v>
      </c>
    </row>
    <row r="105" spans="1:9" x14ac:dyDescent="0.25">
      <c r="A105" t="s">
        <v>1087</v>
      </c>
      <c r="B105">
        <v>4920</v>
      </c>
      <c r="C105">
        <v>308</v>
      </c>
      <c r="D105">
        <v>13169</v>
      </c>
      <c r="E105" t="s">
        <v>985</v>
      </c>
      <c r="F105" t="s">
        <v>987</v>
      </c>
      <c r="G105" s="1"/>
      <c r="H105" t="str">
        <f t="shared" si="6"/>
        <v>High</v>
      </c>
      <c r="I105">
        <f t="shared" si="7"/>
        <v>13169</v>
      </c>
    </row>
    <row r="106" spans="1:9" x14ac:dyDescent="0.25">
      <c r="A106" t="s">
        <v>1088</v>
      </c>
      <c r="B106">
        <v>3140</v>
      </c>
      <c r="C106">
        <v>172</v>
      </c>
      <c r="D106">
        <v>48657</v>
      </c>
      <c r="E106" t="s">
        <v>981</v>
      </c>
      <c r="F106" t="s">
        <v>987</v>
      </c>
      <c r="G106" s="1">
        <v>38286</v>
      </c>
      <c r="H106" t="str">
        <f t="shared" si="6"/>
        <v>High</v>
      </c>
      <c r="I106">
        <f t="shared" si="7"/>
        <v>48657</v>
      </c>
    </row>
    <row r="107" spans="1:9" x14ac:dyDescent="0.25">
      <c r="A107" t="s">
        <v>1089</v>
      </c>
      <c r="B107">
        <v>8104</v>
      </c>
      <c r="C107">
        <v>775</v>
      </c>
      <c r="D107">
        <v>88037</v>
      </c>
      <c r="E107" t="s">
        <v>985</v>
      </c>
      <c r="F107" t="s">
        <v>982</v>
      </c>
      <c r="G107" s="1"/>
      <c r="H107" t="str">
        <f t="shared" si="6"/>
        <v>High</v>
      </c>
      <c r="I107">
        <f t="shared" si="7"/>
        <v>88037</v>
      </c>
    </row>
    <row r="108" spans="1:9" x14ac:dyDescent="0.25">
      <c r="A108" t="s">
        <v>1090</v>
      </c>
      <c r="B108">
        <v>2208</v>
      </c>
      <c r="C108">
        <v>333</v>
      </c>
      <c r="D108">
        <v>21972</v>
      </c>
      <c r="E108" t="s">
        <v>981</v>
      </c>
      <c r="F108" t="s">
        <v>982</v>
      </c>
      <c r="G108" s="1">
        <v>41497</v>
      </c>
      <c r="H108" t="str">
        <f t="shared" si="6"/>
        <v>High</v>
      </c>
      <c r="I108">
        <f t="shared" si="7"/>
        <v>21972</v>
      </c>
    </row>
    <row r="109" spans="1:9" x14ac:dyDescent="0.25">
      <c r="A109" t="s">
        <v>1091</v>
      </c>
      <c r="B109">
        <v>7043</v>
      </c>
      <c r="C109">
        <v>548</v>
      </c>
      <c r="D109">
        <v>87886</v>
      </c>
      <c r="E109" t="s">
        <v>985</v>
      </c>
      <c r="F109" t="s">
        <v>987</v>
      </c>
      <c r="G109" s="1"/>
      <c r="H109" t="str">
        <f t="shared" si="6"/>
        <v>High</v>
      </c>
      <c r="I109">
        <f t="shared" si="7"/>
        <v>87886</v>
      </c>
    </row>
    <row r="110" spans="1:9" x14ac:dyDescent="0.25">
      <c r="A110" t="s">
        <v>1092</v>
      </c>
      <c r="B110">
        <v>7485</v>
      </c>
      <c r="C110">
        <v>665</v>
      </c>
      <c r="D110">
        <v>3244</v>
      </c>
      <c r="E110" t="s">
        <v>981</v>
      </c>
      <c r="F110" t="s">
        <v>982</v>
      </c>
      <c r="G110" s="1">
        <v>40295</v>
      </c>
      <c r="H110" t="str">
        <f t="shared" si="6"/>
        <v>Medium</v>
      </c>
      <c r="I110">
        <f t="shared" si="7"/>
        <v>3244</v>
      </c>
    </row>
    <row r="111" spans="1:9" x14ac:dyDescent="0.25">
      <c r="A111" t="s">
        <v>1093</v>
      </c>
      <c r="B111">
        <v>1748</v>
      </c>
      <c r="C111">
        <v>305</v>
      </c>
      <c r="D111">
        <v>32031</v>
      </c>
      <c r="E111" t="s">
        <v>981</v>
      </c>
      <c r="F111" t="s">
        <v>987</v>
      </c>
      <c r="G111" s="1">
        <v>33909</v>
      </c>
      <c r="H111" t="str">
        <f t="shared" si="6"/>
        <v>High</v>
      </c>
      <c r="I111">
        <f t="shared" si="7"/>
        <v>32031</v>
      </c>
    </row>
    <row r="112" spans="1:9" x14ac:dyDescent="0.25">
      <c r="A112" t="s">
        <v>1094</v>
      </c>
      <c r="B112">
        <v>9968</v>
      </c>
      <c r="C112">
        <v>938</v>
      </c>
      <c r="D112">
        <v>51284</v>
      </c>
      <c r="E112" t="s">
        <v>985</v>
      </c>
      <c r="F112" t="s">
        <v>982</v>
      </c>
      <c r="G112" s="1"/>
      <c r="H112" t="str">
        <f t="shared" si="6"/>
        <v>High</v>
      </c>
      <c r="I112">
        <f t="shared" si="7"/>
        <v>51284</v>
      </c>
    </row>
    <row r="113" spans="1:9" x14ac:dyDescent="0.25">
      <c r="A113" t="s">
        <v>1095</v>
      </c>
      <c r="B113">
        <v>5330</v>
      </c>
      <c r="C113">
        <v>714</v>
      </c>
      <c r="D113">
        <v>23055</v>
      </c>
      <c r="E113" t="s">
        <v>981</v>
      </c>
      <c r="F113" t="s">
        <v>982</v>
      </c>
      <c r="G113" s="1">
        <v>40702</v>
      </c>
      <c r="H113" t="str">
        <f t="shared" si="6"/>
        <v>High</v>
      </c>
      <c r="I113">
        <f t="shared" si="7"/>
        <v>23055</v>
      </c>
    </row>
    <row r="114" spans="1:9" x14ac:dyDescent="0.25">
      <c r="A114" t="s">
        <v>1096</v>
      </c>
      <c r="B114">
        <v>2183</v>
      </c>
      <c r="C114">
        <v>251</v>
      </c>
      <c r="D114">
        <v>94926</v>
      </c>
      <c r="E114" t="s">
        <v>981</v>
      </c>
      <c r="F114" t="s">
        <v>982</v>
      </c>
      <c r="G114" s="1">
        <v>37957</v>
      </c>
      <c r="H114" t="str">
        <f t="shared" si="6"/>
        <v>High</v>
      </c>
      <c r="I114">
        <f t="shared" si="7"/>
        <v>94926</v>
      </c>
    </row>
    <row r="115" spans="1:9" x14ac:dyDescent="0.25">
      <c r="A115" t="s">
        <v>1097</v>
      </c>
      <c r="B115">
        <v>2182</v>
      </c>
      <c r="C115">
        <v>330</v>
      </c>
      <c r="D115">
        <v>312</v>
      </c>
      <c r="E115" t="s">
        <v>985</v>
      </c>
      <c r="F115" t="s">
        <v>987</v>
      </c>
      <c r="G115" s="1"/>
      <c r="H115" t="str">
        <f t="shared" si="6"/>
        <v>Low</v>
      </c>
      <c r="I115">
        <f t="shared" si="7"/>
        <v>312</v>
      </c>
    </row>
    <row r="116" spans="1:9" x14ac:dyDescent="0.25">
      <c r="A116" t="s">
        <v>1098</v>
      </c>
      <c r="B116">
        <v>1087</v>
      </c>
      <c r="C116">
        <v>69</v>
      </c>
      <c r="D116">
        <v>45852</v>
      </c>
      <c r="E116" t="s">
        <v>981</v>
      </c>
      <c r="F116" t="s">
        <v>987</v>
      </c>
      <c r="G116" s="1">
        <v>43342</v>
      </c>
      <c r="H116" t="str">
        <f t="shared" si="6"/>
        <v>High</v>
      </c>
      <c r="I116">
        <f t="shared" si="7"/>
        <v>45852</v>
      </c>
    </row>
    <row r="117" spans="1:9" x14ac:dyDescent="0.25">
      <c r="A117" t="s">
        <v>1099</v>
      </c>
      <c r="B117">
        <v>4296</v>
      </c>
      <c r="C117">
        <v>969</v>
      </c>
      <c r="D117">
        <v>77063</v>
      </c>
      <c r="E117" t="s">
        <v>981</v>
      </c>
      <c r="F117" t="s">
        <v>982</v>
      </c>
      <c r="G117" s="1">
        <v>41342</v>
      </c>
      <c r="H117" t="str">
        <f t="shared" si="6"/>
        <v>High</v>
      </c>
      <c r="I117">
        <f t="shared" si="7"/>
        <v>77063</v>
      </c>
    </row>
    <row r="118" spans="1:9" x14ac:dyDescent="0.25">
      <c r="A118" t="s">
        <v>1100</v>
      </c>
      <c r="B118">
        <v>9784</v>
      </c>
      <c r="C118">
        <v>974</v>
      </c>
      <c r="D118">
        <v>44299</v>
      </c>
      <c r="E118" t="s">
        <v>981</v>
      </c>
      <c r="F118" t="s">
        <v>987</v>
      </c>
      <c r="G118" s="1">
        <v>41446</v>
      </c>
      <c r="H118" t="str">
        <f t="shared" si="6"/>
        <v>High</v>
      </c>
      <c r="I118">
        <f t="shared" si="7"/>
        <v>44299</v>
      </c>
    </row>
    <row r="119" spans="1:9" x14ac:dyDescent="0.25">
      <c r="A119" t="s">
        <v>1101</v>
      </c>
      <c r="B119">
        <v>6210</v>
      </c>
      <c r="C119">
        <v>526</v>
      </c>
      <c r="D119">
        <v>67123</v>
      </c>
      <c r="E119" t="s">
        <v>981</v>
      </c>
      <c r="F119" t="s">
        <v>987</v>
      </c>
      <c r="G119" s="1">
        <v>33422</v>
      </c>
      <c r="H119" t="str">
        <f t="shared" si="6"/>
        <v>High</v>
      </c>
      <c r="I119">
        <f t="shared" si="7"/>
        <v>67123</v>
      </c>
    </row>
    <row r="120" spans="1:9" x14ac:dyDescent="0.25">
      <c r="A120" t="s">
        <v>1102</v>
      </c>
      <c r="B120">
        <v>5781</v>
      </c>
      <c r="C120">
        <v>510</v>
      </c>
      <c r="D120">
        <v>51104</v>
      </c>
      <c r="E120" t="s">
        <v>985</v>
      </c>
      <c r="F120" t="s">
        <v>987</v>
      </c>
      <c r="G120" s="1"/>
      <c r="H120" t="str">
        <f t="shared" si="6"/>
        <v>High</v>
      </c>
      <c r="I120">
        <f t="shared" si="7"/>
        <v>51104</v>
      </c>
    </row>
    <row r="121" spans="1:9" x14ac:dyDescent="0.25">
      <c r="A121" t="s">
        <v>1103</v>
      </c>
      <c r="B121">
        <v>8306</v>
      </c>
      <c r="C121">
        <v>444</v>
      </c>
      <c r="D121">
        <v>35369</v>
      </c>
      <c r="E121" t="s">
        <v>985</v>
      </c>
      <c r="F121" t="s">
        <v>982</v>
      </c>
      <c r="G121" s="1"/>
      <c r="H121" t="str">
        <f t="shared" si="6"/>
        <v>High</v>
      </c>
      <c r="I121">
        <f t="shared" si="7"/>
        <v>35369</v>
      </c>
    </row>
    <row r="122" spans="1:9" x14ac:dyDescent="0.25">
      <c r="A122" t="s">
        <v>1104</v>
      </c>
      <c r="B122">
        <v>3270</v>
      </c>
      <c r="C122">
        <v>503</v>
      </c>
      <c r="D122">
        <v>559</v>
      </c>
      <c r="E122" t="s">
        <v>981</v>
      </c>
      <c r="F122" t="s">
        <v>982</v>
      </c>
      <c r="G122" s="1">
        <v>27174</v>
      </c>
      <c r="H122" t="str">
        <f t="shared" si="6"/>
        <v>Low</v>
      </c>
      <c r="I122">
        <f t="shared" si="7"/>
        <v>559</v>
      </c>
    </row>
    <row r="123" spans="1:9" x14ac:dyDescent="0.25">
      <c r="A123" t="s">
        <v>1105</v>
      </c>
      <c r="B123">
        <v>6787</v>
      </c>
      <c r="C123">
        <v>109</v>
      </c>
      <c r="D123">
        <v>13394</v>
      </c>
      <c r="E123" t="s">
        <v>985</v>
      </c>
      <c r="F123" t="s">
        <v>982</v>
      </c>
      <c r="G123" s="1"/>
      <c r="H123" t="str">
        <f t="shared" si="6"/>
        <v>High</v>
      </c>
      <c r="I123">
        <f t="shared" si="7"/>
        <v>13394</v>
      </c>
    </row>
    <row r="124" spans="1:9" x14ac:dyDescent="0.25">
      <c r="A124" t="s">
        <v>1106</v>
      </c>
      <c r="B124">
        <v>3733</v>
      </c>
      <c r="C124">
        <v>823</v>
      </c>
      <c r="D124">
        <v>51472</v>
      </c>
      <c r="E124" t="s">
        <v>981</v>
      </c>
      <c r="F124" t="s">
        <v>982</v>
      </c>
      <c r="G124" s="1">
        <v>27534</v>
      </c>
      <c r="H124" t="str">
        <f t="shared" si="6"/>
        <v>High</v>
      </c>
      <c r="I124">
        <f t="shared" si="7"/>
        <v>51472</v>
      </c>
    </row>
    <row r="125" spans="1:9" x14ac:dyDescent="0.25">
      <c r="A125" t="s">
        <v>1107</v>
      </c>
      <c r="B125">
        <v>207</v>
      </c>
      <c r="C125">
        <v>147</v>
      </c>
      <c r="D125">
        <v>99367</v>
      </c>
      <c r="E125" t="s">
        <v>981</v>
      </c>
      <c r="F125" t="s">
        <v>987</v>
      </c>
      <c r="G125" s="1">
        <v>38610</v>
      </c>
      <c r="H125" t="str">
        <f t="shared" si="6"/>
        <v>High</v>
      </c>
      <c r="I125">
        <f t="shared" si="7"/>
        <v>99367</v>
      </c>
    </row>
    <row r="126" spans="1:9" x14ac:dyDescent="0.25">
      <c r="A126" t="s">
        <v>1108</v>
      </c>
      <c r="B126">
        <v>3</v>
      </c>
      <c r="C126">
        <v>625</v>
      </c>
      <c r="D126">
        <v>98982</v>
      </c>
      <c r="E126" t="s">
        <v>985</v>
      </c>
      <c r="F126" t="s">
        <v>982</v>
      </c>
      <c r="G126" s="1"/>
      <c r="H126" t="str">
        <f t="shared" si="6"/>
        <v>High</v>
      </c>
      <c r="I126">
        <f t="shared" si="7"/>
        <v>98982</v>
      </c>
    </row>
    <row r="127" spans="1:9" x14ac:dyDescent="0.25">
      <c r="A127" t="s">
        <v>1109</v>
      </c>
      <c r="B127">
        <v>1896</v>
      </c>
      <c r="C127">
        <v>695</v>
      </c>
      <c r="D127">
        <v>47111</v>
      </c>
      <c r="E127" t="s">
        <v>985</v>
      </c>
      <c r="F127" t="s">
        <v>987</v>
      </c>
      <c r="G127" s="1"/>
      <c r="H127" t="str">
        <f t="shared" si="6"/>
        <v>High</v>
      </c>
      <c r="I127">
        <f t="shared" si="7"/>
        <v>47111</v>
      </c>
    </row>
    <row r="128" spans="1:9" x14ac:dyDescent="0.25">
      <c r="A128" t="s">
        <v>1110</v>
      </c>
      <c r="B128">
        <v>9631</v>
      </c>
      <c r="C128">
        <v>983</v>
      </c>
      <c r="D128">
        <v>87420</v>
      </c>
      <c r="E128" t="s">
        <v>985</v>
      </c>
      <c r="F128" t="s">
        <v>987</v>
      </c>
      <c r="G128" s="1"/>
      <c r="H128" t="str">
        <f t="shared" si="6"/>
        <v>High</v>
      </c>
      <c r="I128">
        <f t="shared" si="7"/>
        <v>87420</v>
      </c>
    </row>
    <row r="129" spans="1:9" x14ac:dyDescent="0.25">
      <c r="A129" t="s">
        <v>1111</v>
      </c>
      <c r="B129">
        <v>3132</v>
      </c>
      <c r="C129">
        <v>82</v>
      </c>
      <c r="D129">
        <v>59376</v>
      </c>
      <c r="E129" t="s">
        <v>985</v>
      </c>
      <c r="F129" t="s">
        <v>987</v>
      </c>
      <c r="G129" s="1"/>
      <c r="H129" t="str">
        <f t="shared" si="6"/>
        <v>High</v>
      </c>
      <c r="I129">
        <f t="shared" si="7"/>
        <v>59376</v>
      </c>
    </row>
    <row r="130" spans="1:9" x14ac:dyDescent="0.25">
      <c r="A130" t="s">
        <v>1112</v>
      </c>
      <c r="B130">
        <v>1202</v>
      </c>
      <c r="C130">
        <v>397</v>
      </c>
      <c r="D130">
        <v>41003</v>
      </c>
      <c r="E130" t="s">
        <v>985</v>
      </c>
      <c r="F130" t="s">
        <v>982</v>
      </c>
      <c r="G130" s="1"/>
      <c r="H130" t="str">
        <f t="shared" ref="H130:H161" si="8">IF(D130&gt;7000,"High",IF(D130&gt;3000,"Medium","Low"))</f>
        <v>High</v>
      </c>
      <c r="I130">
        <f t="shared" ref="I130:I161" si="9">SUMIF(B:B,B130,D:D)</f>
        <v>41003</v>
      </c>
    </row>
    <row r="131" spans="1:9" x14ac:dyDescent="0.25">
      <c r="A131" t="s">
        <v>1113</v>
      </c>
      <c r="B131">
        <v>8834</v>
      </c>
      <c r="C131">
        <v>599</v>
      </c>
      <c r="D131">
        <v>58511</v>
      </c>
      <c r="E131" t="s">
        <v>985</v>
      </c>
      <c r="F131" t="s">
        <v>982</v>
      </c>
      <c r="G131" s="1"/>
      <c r="H131" t="str">
        <f t="shared" si="8"/>
        <v>High</v>
      </c>
      <c r="I131">
        <f t="shared" si="9"/>
        <v>58511</v>
      </c>
    </row>
    <row r="132" spans="1:9" x14ac:dyDescent="0.25">
      <c r="A132" t="s">
        <v>1114</v>
      </c>
      <c r="B132">
        <v>1201</v>
      </c>
      <c r="C132">
        <v>306</v>
      </c>
      <c r="D132">
        <v>52868</v>
      </c>
      <c r="E132" t="s">
        <v>981</v>
      </c>
      <c r="F132" t="s">
        <v>987</v>
      </c>
      <c r="G132" s="1">
        <v>30519</v>
      </c>
      <c r="H132" t="str">
        <f t="shared" si="8"/>
        <v>High</v>
      </c>
      <c r="I132">
        <f t="shared" si="9"/>
        <v>52868</v>
      </c>
    </row>
    <row r="133" spans="1:9" x14ac:dyDescent="0.25">
      <c r="A133" t="s">
        <v>1115</v>
      </c>
      <c r="B133">
        <v>2573</v>
      </c>
      <c r="C133">
        <v>536</v>
      </c>
      <c r="D133">
        <v>8206</v>
      </c>
      <c r="E133" t="s">
        <v>981</v>
      </c>
      <c r="F133" t="s">
        <v>982</v>
      </c>
      <c r="G133" s="1">
        <v>42634</v>
      </c>
      <c r="H133" t="str">
        <f t="shared" si="8"/>
        <v>High</v>
      </c>
      <c r="I133">
        <f t="shared" si="9"/>
        <v>8206</v>
      </c>
    </row>
    <row r="134" spans="1:9" x14ac:dyDescent="0.25">
      <c r="A134" t="s">
        <v>1116</v>
      </c>
      <c r="B134">
        <v>6759</v>
      </c>
      <c r="C134">
        <v>20</v>
      </c>
      <c r="D134">
        <v>48873</v>
      </c>
      <c r="E134" t="s">
        <v>985</v>
      </c>
      <c r="F134" t="s">
        <v>982</v>
      </c>
      <c r="G134" s="1"/>
      <c r="H134" t="str">
        <f t="shared" si="8"/>
        <v>High</v>
      </c>
      <c r="I134">
        <f t="shared" si="9"/>
        <v>48873</v>
      </c>
    </row>
    <row r="135" spans="1:9" x14ac:dyDescent="0.25">
      <c r="A135" t="s">
        <v>1117</v>
      </c>
      <c r="B135">
        <v>2601</v>
      </c>
      <c r="C135">
        <v>515</v>
      </c>
      <c r="D135">
        <v>22214</v>
      </c>
      <c r="E135" t="s">
        <v>985</v>
      </c>
      <c r="F135" t="s">
        <v>982</v>
      </c>
      <c r="G135" s="1"/>
      <c r="H135" t="str">
        <f t="shared" si="8"/>
        <v>High</v>
      </c>
      <c r="I135">
        <f t="shared" si="9"/>
        <v>22214</v>
      </c>
    </row>
    <row r="136" spans="1:9" x14ac:dyDescent="0.25">
      <c r="A136" t="s">
        <v>1118</v>
      </c>
      <c r="B136">
        <v>2656</v>
      </c>
      <c r="C136">
        <v>332</v>
      </c>
      <c r="D136">
        <v>806</v>
      </c>
      <c r="E136" t="s">
        <v>985</v>
      </c>
      <c r="F136" t="s">
        <v>987</v>
      </c>
      <c r="G136" s="1"/>
      <c r="H136" t="str">
        <f t="shared" si="8"/>
        <v>Low</v>
      </c>
      <c r="I136">
        <f t="shared" si="9"/>
        <v>806</v>
      </c>
    </row>
    <row r="137" spans="1:9" x14ac:dyDescent="0.25">
      <c r="A137" t="s">
        <v>1119</v>
      </c>
      <c r="B137">
        <v>9645</v>
      </c>
      <c r="C137">
        <v>127</v>
      </c>
      <c r="D137">
        <v>27590</v>
      </c>
      <c r="E137" t="s">
        <v>981</v>
      </c>
      <c r="F137" t="s">
        <v>982</v>
      </c>
      <c r="G137" s="1">
        <v>38726</v>
      </c>
      <c r="H137" t="str">
        <f t="shared" si="8"/>
        <v>High</v>
      </c>
      <c r="I137">
        <f t="shared" si="9"/>
        <v>27590</v>
      </c>
    </row>
    <row r="138" spans="1:9" x14ac:dyDescent="0.25">
      <c r="A138" t="s">
        <v>1120</v>
      </c>
      <c r="B138">
        <v>584</v>
      </c>
      <c r="C138">
        <v>958</v>
      </c>
      <c r="D138">
        <v>5769</v>
      </c>
      <c r="E138" t="s">
        <v>985</v>
      </c>
      <c r="F138" t="s">
        <v>982</v>
      </c>
      <c r="G138" s="1"/>
      <c r="H138" t="str">
        <f t="shared" si="8"/>
        <v>Medium</v>
      </c>
      <c r="I138">
        <f t="shared" si="9"/>
        <v>5769</v>
      </c>
    </row>
    <row r="139" spans="1:9" x14ac:dyDescent="0.25">
      <c r="A139" t="s">
        <v>1121</v>
      </c>
      <c r="B139">
        <v>2121</v>
      </c>
      <c r="C139">
        <v>42</v>
      </c>
      <c r="D139">
        <v>38290</v>
      </c>
      <c r="E139" t="s">
        <v>981</v>
      </c>
      <c r="F139" t="s">
        <v>987</v>
      </c>
      <c r="G139" s="1">
        <v>29110</v>
      </c>
      <c r="H139" t="str">
        <f t="shared" si="8"/>
        <v>High</v>
      </c>
      <c r="I139">
        <f t="shared" si="9"/>
        <v>38290</v>
      </c>
    </row>
    <row r="140" spans="1:9" x14ac:dyDescent="0.25">
      <c r="A140" t="s">
        <v>1122</v>
      </c>
      <c r="B140">
        <v>2142</v>
      </c>
      <c r="C140">
        <v>977</v>
      </c>
      <c r="D140">
        <v>44807</v>
      </c>
      <c r="E140" t="s">
        <v>981</v>
      </c>
      <c r="F140" t="s">
        <v>982</v>
      </c>
      <c r="G140" s="1">
        <v>37549</v>
      </c>
      <c r="H140" t="str">
        <f t="shared" si="8"/>
        <v>High</v>
      </c>
      <c r="I140">
        <f t="shared" si="9"/>
        <v>44807</v>
      </c>
    </row>
    <row r="141" spans="1:9" x14ac:dyDescent="0.25">
      <c r="A141" t="s">
        <v>1123</v>
      </c>
      <c r="B141">
        <v>2396</v>
      </c>
      <c r="C141">
        <v>460</v>
      </c>
      <c r="D141">
        <v>11223</v>
      </c>
      <c r="E141" t="s">
        <v>981</v>
      </c>
      <c r="F141" t="s">
        <v>987</v>
      </c>
      <c r="G141" s="1">
        <v>38610</v>
      </c>
      <c r="H141" t="str">
        <f t="shared" si="8"/>
        <v>High</v>
      </c>
      <c r="I141">
        <f t="shared" si="9"/>
        <v>11223</v>
      </c>
    </row>
    <row r="142" spans="1:9" x14ac:dyDescent="0.25">
      <c r="A142" t="s">
        <v>1124</v>
      </c>
      <c r="B142">
        <v>8747</v>
      </c>
      <c r="C142">
        <v>659</v>
      </c>
      <c r="D142">
        <v>85889</v>
      </c>
      <c r="E142" t="s">
        <v>981</v>
      </c>
      <c r="F142" t="s">
        <v>987</v>
      </c>
      <c r="G142" s="1">
        <v>36049</v>
      </c>
      <c r="H142" t="str">
        <f t="shared" si="8"/>
        <v>High</v>
      </c>
      <c r="I142">
        <f t="shared" si="9"/>
        <v>85889</v>
      </c>
    </row>
    <row r="143" spans="1:9" x14ac:dyDescent="0.25">
      <c r="A143" t="s">
        <v>1125</v>
      </c>
      <c r="B143">
        <v>4142</v>
      </c>
      <c r="C143">
        <v>197</v>
      </c>
      <c r="D143">
        <v>57138</v>
      </c>
      <c r="E143" t="s">
        <v>981</v>
      </c>
      <c r="F143" t="s">
        <v>987</v>
      </c>
      <c r="G143" s="1">
        <v>32743</v>
      </c>
      <c r="H143" t="str">
        <f t="shared" si="8"/>
        <v>High</v>
      </c>
      <c r="I143">
        <f t="shared" si="9"/>
        <v>57138</v>
      </c>
    </row>
    <row r="144" spans="1:9" x14ac:dyDescent="0.25">
      <c r="A144" t="s">
        <v>1126</v>
      </c>
      <c r="B144">
        <v>9770</v>
      </c>
      <c r="C144">
        <v>540</v>
      </c>
      <c r="D144">
        <v>987</v>
      </c>
      <c r="E144" t="s">
        <v>981</v>
      </c>
      <c r="F144" t="s">
        <v>987</v>
      </c>
      <c r="G144" s="1">
        <v>28437</v>
      </c>
      <c r="H144" t="str">
        <f t="shared" si="8"/>
        <v>Low</v>
      </c>
      <c r="I144">
        <f t="shared" si="9"/>
        <v>987</v>
      </c>
    </row>
    <row r="145" spans="1:9" x14ac:dyDescent="0.25">
      <c r="A145" t="s">
        <v>1127</v>
      </c>
      <c r="B145">
        <v>2593</v>
      </c>
      <c r="C145">
        <v>178</v>
      </c>
      <c r="D145">
        <v>80179</v>
      </c>
      <c r="E145" t="s">
        <v>981</v>
      </c>
      <c r="F145" t="s">
        <v>987</v>
      </c>
      <c r="G145" s="1">
        <v>39839</v>
      </c>
      <c r="H145" t="str">
        <f t="shared" si="8"/>
        <v>High</v>
      </c>
      <c r="I145">
        <f t="shared" si="9"/>
        <v>80179</v>
      </c>
    </row>
    <row r="146" spans="1:9" x14ac:dyDescent="0.25">
      <c r="A146" t="s">
        <v>1128</v>
      </c>
      <c r="B146">
        <v>9807</v>
      </c>
      <c r="C146">
        <v>202</v>
      </c>
      <c r="D146">
        <v>63810</v>
      </c>
      <c r="E146" t="s">
        <v>981</v>
      </c>
      <c r="F146" t="s">
        <v>982</v>
      </c>
      <c r="G146" s="1">
        <v>37106</v>
      </c>
      <c r="H146" t="str">
        <f t="shared" si="8"/>
        <v>High</v>
      </c>
      <c r="I146">
        <f t="shared" si="9"/>
        <v>63810</v>
      </c>
    </row>
    <row r="147" spans="1:9" x14ac:dyDescent="0.25">
      <c r="A147" t="s">
        <v>1129</v>
      </c>
      <c r="B147">
        <v>2525</v>
      </c>
      <c r="C147">
        <v>632</v>
      </c>
      <c r="D147">
        <v>22261</v>
      </c>
      <c r="E147" t="s">
        <v>981</v>
      </c>
      <c r="F147" t="s">
        <v>982</v>
      </c>
      <c r="G147" s="1">
        <v>33963</v>
      </c>
      <c r="H147" t="str">
        <f t="shared" si="8"/>
        <v>High</v>
      </c>
      <c r="I147">
        <f t="shared" si="9"/>
        <v>22261</v>
      </c>
    </row>
    <row r="148" spans="1:9" x14ac:dyDescent="0.25">
      <c r="A148" t="s">
        <v>1130</v>
      </c>
      <c r="B148">
        <v>1724</v>
      </c>
      <c r="C148">
        <v>25</v>
      </c>
      <c r="D148">
        <v>37286</v>
      </c>
      <c r="E148" t="s">
        <v>981</v>
      </c>
      <c r="F148" t="s">
        <v>982</v>
      </c>
      <c r="G148" s="1">
        <v>38124</v>
      </c>
      <c r="H148" t="str">
        <f t="shared" si="8"/>
        <v>High</v>
      </c>
      <c r="I148">
        <f t="shared" si="9"/>
        <v>37286</v>
      </c>
    </row>
    <row r="149" spans="1:9" x14ac:dyDescent="0.25">
      <c r="A149" t="s">
        <v>1131</v>
      </c>
      <c r="B149">
        <v>7146</v>
      </c>
      <c r="C149">
        <v>990</v>
      </c>
      <c r="D149">
        <v>73874</v>
      </c>
      <c r="E149" t="s">
        <v>981</v>
      </c>
      <c r="F149" t="s">
        <v>982</v>
      </c>
      <c r="G149" s="1">
        <v>37953</v>
      </c>
      <c r="H149" t="str">
        <f t="shared" si="8"/>
        <v>High</v>
      </c>
      <c r="I149">
        <f t="shared" si="9"/>
        <v>73874</v>
      </c>
    </row>
    <row r="150" spans="1:9" x14ac:dyDescent="0.25">
      <c r="A150" t="s">
        <v>1132</v>
      </c>
      <c r="B150">
        <v>563</v>
      </c>
      <c r="C150">
        <v>913</v>
      </c>
      <c r="D150">
        <v>20187</v>
      </c>
      <c r="E150" t="s">
        <v>985</v>
      </c>
      <c r="F150" t="s">
        <v>987</v>
      </c>
      <c r="G150" s="1"/>
      <c r="H150" t="str">
        <f t="shared" si="8"/>
        <v>High</v>
      </c>
      <c r="I150">
        <f t="shared" si="9"/>
        <v>20187</v>
      </c>
    </row>
    <row r="151" spans="1:9" x14ac:dyDescent="0.25">
      <c r="A151" t="s">
        <v>1133</v>
      </c>
      <c r="B151">
        <v>7771</v>
      </c>
      <c r="C151">
        <v>371</v>
      </c>
      <c r="D151">
        <v>51038</v>
      </c>
      <c r="E151" t="s">
        <v>985</v>
      </c>
      <c r="F151" t="s">
        <v>987</v>
      </c>
      <c r="G151" s="1"/>
      <c r="H151" t="str">
        <f t="shared" si="8"/>
        <v>High</v>
      </c>
      <c r="I151">
        <f t="shared" si="9"/>
        <v>51038</v>
      </c>
    </row>
    <row r="152" spans="1:9" x14ac:dyDescent="0.25">
      <c r="A152" t="s">
        <v>1134</v>
      </c>
      <c r="B152">
        <v>4789</v>
      </c>
      <c r="C152">
        <v>514</v>
      </c>
      <c r="D152">
        <v>89846</v>
      </c>
      <c r="E152" t="s">
        <v>985</v>
      </c>
      <c r="F152" t="s">
        <v>987</v>
      </c>
      <c r="G152" s="1"/>
      <c r="H152" t="str">
        <f t="shared" si="8"/>
        <v>High</v>
      </c>
      <c r="I152">
        <f t="shared" si="9"/>
        <v>89846</v>
      </c>
    </row>
    <row r="153" spans="1:9" x14ac:dyDescent="0.25">
      <c r="A153" t="s">
        <v>1135</v>
      </c>
      <c r="B153">
        <v>3221</v>
      </c>
      <c r="C153">
        <v>707</v>
      </c>
      <c r="D153">
        <v>59967</v>
      </c>
      <c r="E153" t="s">
        <v>985</v>
      </c>
      <c r="F153" t="s">
        <v>982</v>
      </c>
      <c r="G153" s="1"/>
      <c r="H153" t="str">
        <f t="shared" si="8"/>
        <v>High</v>
      </c>
      <c r="I153">
        <f t="shared" si="9"/>
        <v>59967</v>
      </c>
    </row>
    <row r="154" spans="1:9" x14ac:dyDescent="0.25">
      <c r="A154" t="s">
        <v>1136</v>
      </c>
      <c r="B154">
        <v>5197</v>
      </c>
      <c r="C154">
        <v>473</v>
      </c>
      <c r="D154">
        <v>59474</v>
      </c>
      <c r="E154" t="s">
        <v>981</v>
      </c>
      <c r="F154" t="s">
        <v>987</v>
      </c>
      <c r="G154" s="1">
        <v>40925</v>
      </c>
      <c r="H154" t="str">
        <f t="shared" si="8"/>
        <v>High</v>
      </c>
      <c r="I154">
        <f t="shared" si="9"/>
        <v>59474</v>
      </c>
    </row>
    <row r="155" spans="1:9" x14ac:dyDescent="0.25">
      <c r="A155" t="s">
        <v>1137</v>
      </c>
      <c r="B155">
        <v>8183</v>
      </c>
      <c r="C155">
        <v>847</v>
      </c>
      <c r="D155">
        <v>77342</v>
      </c>
      <c r="E155" t="s">
        <v>985</v>
      </c>
      <c r="F155" t="s">
        <v>987</v>
      </c>
      <c r="G155" s="1"/>
      <c r="H155" t="str">
        <f t="shared" si="8"/>
        <v>High</v>
      </c>
      <c r="I155">
        <f t="shared" si="9"/>
        <v>77342</v>
      </c>
    </row>
    <row r="156" spans="1:9" x14ac:dyDescent="0.25">
      <c r="A156" t="s">
        <v>1138</v>
      </c>
      <c r="B156">
        <v>1126</v>
      </c>
      <c r="C156">
        <v>815</v>
      </c>
      <c r="D156">
        <v>57460</v>
      </c>
      <c r="E156" t="s">
        <v>981</v>
      </c>
      <c r="F156" t="s">
        <v>987</v>
      </c>
      <c r="G156" s="1">
        <v>40239</v>
      </c>
      <c r="H156" t="str">
        <f t="shared" si="8"/>
        <v>High</v>
      </c>
      <c r="I156">
        <f t="shared" si="9"/>
        <v>57460</v>
      </c>
    </row>
    <row r="157" spans="1:9" x14ac:dyDescent="0.25">
      <c r="A157" t="s">
        <v>1139</v>
      </c>
      <c r="B157">
        <v>4899</v>
      </c>
      <c r="C157">
        <v>928</v>
      </c>
      <c r="D157">
        <v>74930</v>
      </c>
      <c r="E157" t="s">
        <v>985</v>
      </c>
      <c r="F157" t="s">
        <v>987</v>
      </c>
      <c r="G157" s="1"/>
      <c r="H157" t="str">
        <f t="shared" si="8"/>
        <v>High</v>
      </c>
      <c r="I157">
        <f t="shared" si="9"/>
        <v>74930</v>
      </c>
    </row>
    <row r="158" spans="1:9" x14ac:dyDescent="0.25">
      <c r="A158" t="s">
        <v>1140</v>
      </c>
      <c r="B158">
        <v>4732</v>
      </c>
      <c r="C158">
        <v>210</v>
      </c>
      <c r="D158">
        <v>89389</v>
      </c>
      <c r="E158" t="s">
        <v>985</v>
      </c>
      <c r="F158" t="s">
        <v>987</v>
      </c>
      <c r="G158" s="1"/>
      <c r="H158" t="str">
        <f t="shared" si="8"/>
        <v>High</v>
      </c>
      <c r="I158">
        <f t="shared" si="9"/>
        <v>89389</v>
      </c>
    </row>
    <row r="159" spans="1:9" x14ac:dyDescent="0.25">
      <c r="A159" t="s">
        <v>1141</v>
      </c>
      <c r="B159">
        <v>4103</v>
      </c>
      <c r="C159">
        <v>793</v>
      </c>
      <c r="D159">
        <v>86767</v>
      </c>
      <c r="E159" t="s">
        <v>985</v>
      </c>
      <c r="F159" t="s">
        <v>987</v>
      </c>
      <c r="G159" s="1"/>
      <c r="H159" t="str">
        <f t="shared" si="8"/>
        <v>High</v>
      </c>
      <c r="I159">
        <f t="shared" si="9"/>
        <v>86767</v>
      </c>
    </row>
    <row r="160" spans="1:9" x14ac:dyDescent="0.25">
      <c r="A160" t="s">
        <v>1142</v>
      </c>
      <c r="B160">
        <v>7861</v>
      </c>
      <c r="C160">
        <v>872</v>
      </c>
      <c r="D160">
        <v>42257</v>
      </c>
      <c r="E160" t="s">
        <v>981</v>
      </c>
      <c r="F160" t="s">
        <v>987</v>
      </c>
      <c r="G160" s="1">
        <v>39585</v>
      </c>
      <c r="H160" t="str">
        <f t="shared" si="8"/>
        <v>High</v>
      </c>
      <c r="I160">
        <f t="shared" si="9"/>
        <v>42257</v>
      </c>
    </row>
    <row r="161" spans="1:9" x14ac:dyDescent="0.25">
      <c r="A161" t="s">
        <v>1143</v>
      </c>
      <c r="B161">
        <v>7764</v>
      </c>
      <c r="C161">
        <v>298</v>
      </c>
      <c r="D161">
        <v>28987</v>
      </c>
      <c r="E161" t="s">
        <v>985</v>
      </c>
      <c r="F161" t="s">
        <v>987</v>
      </c>
      <c r="G161" s="1"/>
      <c r="H161" t="str">
        <f t="shared" si="8"/>
        <v>High</v>
      </c>
      <c r="I161">
        <f t="shared" si="9"/>
        <v>28987</v>
      </c>
    </row>
    <row r="162" spans="1:9" x14ac:dyDescent="0.25">
      <c r="A162" t="s">
        <v>1144</v>
      </c>
      <c r="B162">
        <v>5345</v>
      </c>
      <c r="C162">
        <v>941</v>
      </c>
      <c r="D162">
        <v>38952</v>
      </c>
      <c r="E162" t="s">
        <v>981</v>
      </c>
      <c r="F162" t="s">
        <v>987</v>
      </c>
      <c r="G162" s="1">
        <v>40418</v>
      </c>
      <c r="H162" t="str">
        <f t="shared" ref="H162:H193" si="10">IF(D162&gt;7000,"High",IF(D162&gt;3000,"Medium","Low"))</f>
        <v>High</v>
      </c>
      <c r="I162">
        <f t="shared" ref="I162:I193" si="11">SUMIF(B:B,B162,D:D)</f>
        <v>38952</v>
      </c>
    </row>
    <row r="163" spans="1:9" x14ac:dyDescent="0.25">
      <c r="A163" t="s">
        <v>1145</v>
      </c>
      <c r="B163">
        <v>6191</v>
      </c>
      <c r="C163">
        <v>731</v>
      </c>
      <c r="D163">
        <v>50635</v>
      </c>
      <c r="E163" t="s">
        <v>985</v>
      </c>
      <c r="F163" t="s">
        <v>987</v>
      </c>
      <c r="G163" s="1"/>
      <c r="H163" t="str">
        <f t="shared" si="10"/>
        <v>High</v>
      </c>
      <c r="I163">
        <f t="shared" si="11"/>
        <v>50635</v>
      </c>
    </row>
    <row r="164" spans="1:9" x14ac:dyDescent="0.25">
      <c r="A164" t="s">
        <v>1146</v>
      </c>
      <c r="B164">
        <v>310</v>
      </c>
      <c r="C164">
        <v>500</v>
      </c>
      <c r="D164">
        <v>32800</v>
      </c>
      <c r="E164" t="s">
        <v>985</v>
      </c>
      <c r="F164" t="s">
        <v>987</v>
      </c>
      <c r="G164" s="1"/>
      <c r="H164" t="str">
        <f t="shared" si="10"/>
        <v>High</v>
      </c>
      <c r="I164">
        <f t="shared" si="11"/>
        <v>32800</v>
      </c>
    </row>
    <row r="165" spans="1:9" x14ac:dyDescent="0.25">
      <c r="A165" t="s">
        <v>1147</v>
      </c>
      <c r="B165">
        <v>3095</v>
      </c>
      <c r="C165">
        <v>142</v>
      </c>
      <c r="D165">
        <v>67478</v>
      </c>
      <c r="E165" t="s">
        <v>985</v>
      </c>
      <c r="F165" t="s">
        <v>982</v>
      </c>
      <c r="G165" s="1"/>
      <c r="H165" t="str">
        <f t="shared" si="10"/>
        <v>High</v>
      </c>
      <c r="I165">
        <f t="shared" si="11"/>
        <v>67478</v>
      </c>
    </row>
    <row r="166" spans="1:9" x14ac:dyDescent="0.25">
      <c r="A166" t="s">
        <v>1148</v>
      </c>
      <c r="B166">
        <v>2159</v>
      </c>
      <c r="C166">
        <v>787</v>
      </c>
      <c r="D166">
        <v>24449</v>
      </c>
      <c r="E166" t="s">
        <v>981</v>
      </c>
      <c r="F166" t="s">
        <v>987</v>
      </c>
      <c r="G166" s="1">
        <v>40719</v>
      </c>
      <c r="H166" t="str">
        <f t="shared" si="10"/>
        <v>High</v>
      </c>
      <c r="I166">
        <f t="shared" si="11"/>
        <v>24449</v>
      </c>
    </row>
    <row r="167" spans="1:9" x14ac:dyDescent="0.25">
      <c r="A167" t="s">
        <v>1149</v>
      </c>
      <c r="B167">
        <v>3569</v>
      </c>
      <c r="C167">
        <v>749</v>
      </c>
      <c r="D167">
        <v>3119</v>
      </c>
      <c r="E167" t="s">
        <v>981</v>
      </c>
      <c r="F167" t="s">
        <v>982</v>
      </c>
      <c r="G167" s="1">
        <v>41822</v>
      </c>
      <c r="H167" t="str">
        <f t="shared" si="10"/>
        <v>Medium</v>
      </c>
      <c r="I167">
        <f t="shared" si="11"/>
        <v>3119</v>
      </c>
    </row>
    <row r="168" spans="1:9" x14ac:dyDescent="0.25">
      <c r="A168" t="s">
        <v>1150</v>
      </c>
      <c r="B168">
        <v>5958</v>
      </c>
      <c r="C168">
        <v>304</v>
      </c>
      <c r="D168">
        <v>13693</v>
      </c>
      <c r="E168" t="s">
        <v>981</v>
      </c>
      <c r="F168" t="s">
        <v>987</v>
      </c>
      <c r="G168" s="1">
        <v>38255</v>
      </c>
      <c r="H168" t="str">
        <f t="shared" si="10"/>
        <v>High</v>
      </c>
      <c r="I168">
        <f t="shared" si="11"/>
        <v>13693</v>
      </c>
    </row>
    <row r="169" spans="1:9" x14ac:dyDescent="0.25">
      <c r="A169" t="s">
        <v>1151</v>
      </c>
      <c r="B169">
        <v>1275</v>
      </c>
      <c r="C169">
        <v>30</v>
      </c>
      <c r="D169">
        <v>80796</v>
      </c>
      <c r="E169" t="s">
        <v>981</v>
      </c>
      <c r="F169" t="s">
        <v>987</v>
      </c>
      <c r="G169" s="1">
        <v>40246</v>
      </c>
      <c r="H169" t="str">
        <f t="shared" si="10"/>
        <v>High</v>
      </c>
      <c r="I169">
        <f t="shared" si="11"/>
        <v>80796</v>
      </c>
    </row>
    <row r="170" spans="1:9" x14ac:dyDescent="0.25">
      <c r="A170" t="s">
        <v>1152</v>
      </c>
      <c r="B170">
        <v>6357</v>
      </c>
      <c r="C170">
        <v>477</v>
      </c>
      <c r="D170">
        <v>19804</v>
      </c>
      <c r="E170" t="s">
        <v>985</v>
      </c>
      <c r="F170" t="s">
        <v>987</v>
      </c>
      <c r="G170" s="1"/>
      <c r="H170" t="str">
        <f t="shared" si="10"/>
        <v>High</v>
      </c>
      <c r="I170">
        <f t="shared" si="11"/>
        <v>19804</v>
      </c>
    </row>
    <row r="171" spans="1:9" x14ac:dyDescent="0.25">
      <c r="A171" t="s">
        <v>1153</v>
      </c>
      <c r="B171">
        <v>4551</v>
      </c>
      <c r="C171">
        <v>52</v>
      </c>
      <c r="D171">
        <v>75766</v>
      </c>
      <c r="E171" t="s">
        <v>985</v>
      </c>
      <c r="F171" t="s">
        <v>982</v>
      </c>
      <c r="G171" s="1"/>
      <c r="H171" t="str">
        <f t="shared" si="10"/>
        <v>High</v>
      </c>
      <c r="I171">
        <f t="shared" si="11"/>
        <v>75766</v>
      </c>
    </row>
    <row r="172" spans="1:9" x14ac:dyDescent="0.25">
      <c r="A172" t="s">
        <v>1154</v>
      </c>
      <c r="B172">
        <v>4252</v>
      </c>
      <c r="C172">
        <v>73</v>
      </c>
      <c r="D172">
        <v>74338</v>
      </c>
      <c r="E172" t="s">
        <v>985</v>
      </c>
      <c r="F172" t="s">
        <v>987</v>
      </c>
      <c r="G172" s="1"/>
      <c r="H172" t="str">
        <f t="shared" si="10"/>
        <v>High</v>
      </c>
      <c r="I172">
        <f t="shared" si="11"/>
        <v>74338</v>
      </c>
    </row>
    <row r="173" spans="1:9" x14ac:dyDescent="0.25">
      <c r="A173" t="s">
        <v>1155</v>
      </c>
      <c r="B173">
        <v>2096</v>
      </c>
      <c r="C173">
        <v>691</v>
      </c>
      <c r="D173">
        <v>73423</v>
      </c>
      <c r="E173" t="s">
        <v>981</v>
      </c>
      <c r="F173" t="s">
        <v>982</v>
      </c>
      <c r="G173" s="1">
        <v>41141</v>
      </c>
      <c r="H173" t="str">
        <f t="shared" si="10"/>
        <v>High</v>
      </c>
      <c r="I173">
        <f t="shared" si="11"/>
        <v>73423</v>
      </c>
    </row>
    <row r="174" spans="1:9" x14ac:dyDescent="0.25">
      <c r="A174" t="s">
        <v>1156</v>
      </c>
      <c r="B174">
        <v>5209</v>
      </c>
      <c r="C174">
        <v>786</v>
      </c>
      <c r="D174">
        <v>91842</v>
      </c>
      <c r="E174" t="s">
        <v>981</v>
      </c>
      <c r="F174" t="s">
        <v>987</v>
      </c>
      <c r="G174" s="1">
        <v>28003</v>
      </c>
      <c r="H174" t="str">
        <f t="shared" si="10"/>
        <v>High</v>
      </c>
      <c r="I174">
        <f t="shared" si="11"/>
        <v>91842</v>
      </c>
    </row>
    <row r="175" spans="1:9" x14ac:dyDescent="0.25">
      <c r="A175" t="s">
        <v>1157</v>
      </c>
      <c r="B175">
        <v>9271</v>
      </c>
      <c r="C175">
        <v>68</v>
      </c>
      <c r="D175">
        <v>81148</v>
      </c>
      <c r="E175" t="s">
        <v>985</v>
      </c>
      <c r="F175" t="s">
        <v>987</v>
      </c>
      <c r="G175" s="1"/>
      <c r="H175" t="str">
        <f t="shared" si="10"/>
        <v>High</v>
      </c>
      <c r="I175">
        <f t="shared" si="11"/>
        <v>81148</v>
      </c>
    </row>
    <row r="176" spans="1:9" x14ac:dyDescent="0.25">
      <c r="A176" t="s">
        <v>1158</v>
      </c>
      <c r="B176">
        <v>6772</v>
      </c>
      <c r="C176">
        <v>630</v>
      </c>
      <c r="D176">
        <v>96963</v>
      </c>
      <c r="E176" t="s">
        <v>981</v>
      </c>
      <c r="F176" t="s">
        <v>987</v>
      </c>
      <c r="G176" s="1">
        <v>40085</v>
      </c>
      <c r="H176" t="str">
        <f t="shared" si="10"/>
        <v>High</v>
      </c>
      <c r="I176">
        <f t="shared" si="11"/>
        <v>96963</v>
      </c>
    </row>
    <row r="177" spans="1:9" x14ac:dyDescent="0.25">
      <c r="A177" t="s">
        <v>1159</v>
      </c>
      <c r="B177">
        <v>4628</v>
      </c>
      <c r="C177">
        <v>357</v>
      </c>
      <c r="D177">
        <v>88092</v>
      </c>
      <c r="E177" t="s">
        <v>985</v>
      </c>
      <c r="F177" t="s">
        <v>987</v>
      </c>
      <c r="G177" s="1"/>
      <c r="H177" t="str">
        <f t="shared" si="10"/>
        <v>High</v>
      </c>
      <c r="I177">
        <f t="shared" si="11"/>
        <v>88092</v>
      </c>
    </row>
    <row r="178" spans="1:9" x14ac:dyDescent="0.25">
      <c r="A178" t="s">
        <v>1160</v>
      </c>
      <c r="B178">
        <v>3853</v>
      </c>
      <c r="C178">
        <v>455</v>
      </c>
      <c r="D178">
        <v>66397</v>
      </c>
      <c r="E178" t="s">
        <v>985</v>
      </c>
      <c r="F178" t="s">
        <v>982</v>
      </c>
      <c r="G178" s="1"/>
      <c r="H178" t="str">
        <f t="shared" si="10"/>
        <v>High</v>
      </c>
      <c r="I178">
        <f t="shared" si="11"/>
        <v>66397</v>
      </c>
    </row>
    <row r="179" spans="1:9" x14ac:dyDescent="0.25">
      <c r="A179" t="s">
        <v>1161</v>
      </c>
      <c r="B179">
        <v>515</v>
      </c>
      <c r="C179">
        <v>947</v>
      </c>
      <c r="D179">
        <v>1714</v>
      </c>
      <c r="E179" t="s">
        <v>981</v>
      </c>
      <c r="F179" t="s">
        <v>982</v>
      </c>
      <c r="G179" s="1">
        <v>31897</v>
      </c>
      <c r="H179" t="str">
        <f t="shared" si="10"/>
        <v>Low</v>
      </c>
      <c r="I179">
        <f t="shared" si="11"/>
        <v>1714</v>
      </c>
    </row>
    <row r="180" spans="1:9" x14ac:dyDescent="0.25">
      <c r="A180" t="s">
        <v>1162</v>
      </c>
      <c r="B180">
        <v>7513</v>
      </c>
      <c r="C180">
        <v>589</v>
      </c>
      <c r="D180">
        <v>5059</v>
      </c>
      <c r="E180" t="s">
        <v>985</v>
      </c>
      <c r="F180" t="s">
        <v>982</v>
      </c>
      <c r="G180" s="1"/>
      <c r="H180" t="str">
        <f t="shared" si="10"/>
        <v>Medium</v>
      </c>
      <c r="I180">
        <f t="shared" si="11"/>
        <v>5059</v>
      </c>
    </row>
    <row r="181" spans="1:9" x14ac:dyDescent="0.25">
      <c r="A181" t="s">
        <v>1163</v>
      </c>
      <c r="B181">
        <v>9030</v>
      </c>
      <c r="C181">
        <v>863</v>
      </c>
      <c r="D181">
        <v>66582</v>
      </c>
      <c r="E181" t="s">
        <v>985</v>
      </c>
      <c r="F181" t="s">
        <v>982</v>
      </c>
      <c r="G181" s="1"/>
      <c r="H181" t="str">
        <f t="shared" si="10"/>
        <v>High</v>
      </c>
      <c r="I181">
        <f t="shared" si="11"/>
        <v>66582</v>
      </c>
    </row>
    <row r="182" spans="1:9" x14ac:dyDescent="0.25">
      <c r="A182" t="s">
        <v>1164</v>
      </c>
      <c r="B182">
        <v>2378</v>
      </c>
      <c r="C182">
        <v>668</v>
      </c>
      <c r="D182">
        <v>42143</v>
      </c>
      <c r="E182" t="s">
        <v>981</v>
      </c>
      <c r="F182" t="s">
        <v>982</v>
      </c>
      <c r="G182" s="1">
        <v>26466</v>
      </c>
      <c r="H182" t="str">
        <f t="shared" si="10"/>
        <v>High</v>
      </c>
      <c r="I182">
        <f t="shared" si="11"/>
        <v>42143</v>
      </c>
    </row>
    <row r="183" spans="1:9" x14ac:dyDescent="0.25">
      <c r="A183" t="s">
        <v>1165</v>
      </c>
      <c r="B183">
        <v>5894</v>
      </c>
      <c r="C183">
        <v>206</v>
      </c>
      <c r="D183">
        <v>27741</v>
      </c>
      <c r="E183" t="s">
        <v>985</v>
      </c>
      <c r="F183" t="s">
        <v>987</v>
      </c>
      <c r="G183" s="1"/>
      <c r="H183" t="str">
        <f t="shared" si="10"/>
        <v>High</v>
      </c>
      <c r="I183">
        <f t="shared" si="11"/>
        <v>27741</v>
      </c>
    </row>
    <row r="184" spans="1:9" x14ac:dyDescent="0.25">
      <c r="A184" t="s">
        <v>1166</v>
      </c>
      <c r="B184">
        <v>7587</v>
      </c>
      <c r="C184">
        <v>835</v>
      </c>
      <c r="D184">
        <v>696</v>
      </c>
      <c r="E184" t="s">
        <v>985</v>
      </c>
      <c r="F184" t="s">
        <v>982</v>
      </c>
      <c r="G184" s="1"/>
      <c r="H184" t="str">
        <f t="shared" si="10"/>
        <v>Low</v>
      </c>
      <c r="I184">
        <f t="shared" si="11"/>
        <v>696</v>
      </c>
    </row>
    <row r="185" spans="1:9" x14ac:dyDescent="0.25">
      <c r="A185" t="s">
        <v>1167</v>
      </c>
      <c r="B185">
        <v>1424</v>
      </c>
      <c r="C185">
        <v>315</v>
      </c>
      <c r="D185">
        <v>37660</v>
      </c>
      <c r="E185" t="s">
        <v>985</v>
      </c>
      <c r="F185" t="s">
        <v>982</v>
      </c>
      <c r="G185" s="1"/>
      <c r="H185" t="str">
        <f t="shared" si="10"/>
        <v>High</v>
      </c>
      <c r="I185">
        <f t="shared" si="11"/>
        <v>37660</v>
      </c>
    </row>
    <row r="186" spans="1:9" x14ac:dyDescent="0.25">
      <c r="A186" t="s">
        <v>1168</v>
      </c>
      <c r="B186">
        <v>5214</v>
      </c>
      <c r="C186">
        <v>553</v>
      </c>
      <c r="D186">
        <v>16299</v>
      </c>
      <c r="E186" t="s">
        <v>985</v>
      </c>
      <c r="F186" t="s">
        <v>982</v>
      </c>
      <c r="G186" s="1"/>
      <c r="H186" t="str">
        <f t="shared" si="10"/>
        <v>High</v>
      </c>
      <c r="I186">
        <f t="shared" si="11"/>
        <v>16299</v>
      </c>
    </row>
    <row r="187" spans="1:9" x14ac:dyDescent="0.25">
      <c r="A187" t="s">
        <v>1169</v>
      </c>
      <c r="B187">
        <v>8249</v>
      </c>
      <c r="C187">
        <v>861</v>
      </c>
      <c r="D187">
        <v>16690</v>
      </c>
      <c r="E187" t="s">
        <v>981</v>
      </c>
      <c r="F187" t="s">
        <v>982</v>
      </c>
      <c r="G187" s="1">
        <v>35321</v>
      </c>
      <c r="H187" t="str">
        <f t="shared" si="10"/>
        <v>High</v>
      </c>
      <c r="I187">
        <f t="shared" si="11"/>
        <v>16690</v>
      </c>
    </row>
    <row r="188" spans="1:9" x14ac:dyDescent="0.25">
      <c r="A188" t="s">
        <v>1170</v>
      </c>
      <c r="B188">
        <v>3172</v>
      </c>
      <c r="C188">
        <v>279</v>
      </c>
      <c r="D188">
        <v>21003</v>
      </c>
      <c r="E188" t="s">
        <v>985</v>
      </c>
      <c r="F188" t="s">
        <v>982</v>
      </c>
      <c r="G188" s="1"/>
      <c r="H188" t="str">
        <f t="shared" si="10"/>
        <v>High</v>
      </c>
      <c r="I188">
        <f t="shared" si="11"/>
        <v>21003</v>
      </c>
    </row>
    <row r="189" spans="1:9" x14ac:dyDescent="0.25">
      <c r="A189" t="s">
        <v>1171</v>
      </c>
      <c r="B189">
        <v>5489</v>
      </c>
      <c r="C189">
        <v>75</v>
      </c>
      <c r="D189">
        <v>93642</v>
      </c>
      <c r="E189" t="s">
        <v>981</v>
      </c>
      <c r="F189" t="s">
        <v>987</v>
      </c>
      <c r="G189" s="1">
        <v>37507</v>
      </c>
      <c r="H189" t="str">
        <f t="shared" si="10"/>
        <v>High</v>
      </c>
      <c r="I189">
        <f t="shared" si="11"/>
        <v>93642</v>
      </c>
    </row>
    <row r="190" spans="1:9" x14ac:dyDescent="0.25">
      <c r="A190" t="s">
        <v>1172</v>
      </c>
      <c r="B190">
        <v>2037</v>
      </c>
      <c r="C190">
        <v>895</v>
      </c>
      <c r="D190">
        <v>34832</v>
      </c>
      <c r="E190" t="s">
        <v>985</v>
      </c>
      <c r="F190" t="s">
        <v>987</v>
      </c>
      <c r="G190" s="1"/>
      <c r="H190" t="str">
        <f t="shared" si="10"/>
        <v>High</v>
      </c>
      <c r="I190">
        <f t="shared" si="11"/>
        <v>34832</v>
      </c>
    </row>
    <row r="191" spans="1:9" x14ac:dyDescent="0.25">
      <c r="A191" t="s">
        <v>1173</v>
      </c>
      <c r="B191">
        <v>2401</v>
      </c>
      <c r="C191">
        <v>866</v>
      </c>
      <c r="D191">
        <v>59176</v>
      </c>
      <c r="E191" t="s">
        <v>981</v>
      </c>
      <c r="F191" t="s">
        <v>987</v>
      </c>
      <c r="G191" s="1">
        <v>34700</v>
      </c>
      <c r="H191" t="str">
        <f t="shared" si="10"/>
        <v>High</v>
      </c>
      <c r="I191">
        <f t="shared" si="11"/>
        <v>59176</v>
      </c>
    </row>
    <row r="192" spans="1:9" x14ac:dyDescent="0.25">
      <c r="A192" t="s">
        <v>1174</v>
      </c>
      <c r="B192">
        <v>1303</v>
      </c>
      <c r="C192">
        <v>792</v>
      </c>
      <c r="D192">
        <v>3846</v>
      </c>
      <c r="E192" t="s">
        <v>985</v>
      </c>
      <c r="F192" t="s">
        <v>987</v>
      </c>
      <c r="G192" s="1"/>
      <c r="H192" t="str">
        <f t="shared" si="10"/>
        <v>Medium</v>
      </c>
      <c r="I192">
        <f t="shared" si="11"/>
        <v>3846</v>
      </c>
    </row>
    <row r="193" spans="1:9" x14ac:dyDescent="0.25">
      <c r="A193" t="s">
        <v>1175</v>
      </c>
      <c r="B193">
        <v>6798</v>
      </c>
      <c r="C193">
        <v>191</v>
      </c>
      <c r="D193">
        <v>17651</v>
      </c>
      <c r="E193" t="s">
        <v>981</v>
      </c>
      <c r="F193" t="s">
        <v>982</v>
      </c>
      <c r="G193" s="1">
        <v>32798</v>
      </c>
      <c r="H193" t="str">
        <f t="shared" si="10"/>
        <v>High</v>
      </c>
      <c r="I193">
        <f t="shared" si="11"/>
        <v>17651</v>
      </c>
    </row>
    <row r="194" spans="1:9" x14ac:dyDescent="0.25">
      <c r="A194" t="s">
        <v>1176</v>
      </c>
      <c r="B194">
        <v>9917</v>
      </c>
      <c r="C194">
        <v>59</v>
      </c>
      <c r="D194">
        <v>2282</v>
      </c>
      <c r="E194" t="s">
        <v>985</v>
      </c>
      <c r="F194" t="s">
        <v>982</v>
      </c>
      <c r="G194" s="1"/>
      <c r="H194" t="str">
        <f t="shared" ref="H194:H201" si="12">IF(D194&gt;7000,"High",IF(D194&gt;3000,"Medium","Low"))</f>
        <v>Low</v>
      </c>
      <c r="I194">
        <f t="shared" ref="I194:I201" si="13">SUMIF(B:B,B194,D:D)</f>
        <v>2282</v>
      </c>
    </row>
    <row r="195" spans="1:9" x14ac:dyDescent="0.25">
      <c r="A195" t="s">
        <v>1177</v>
      </c>
      <c r="B195">
        <v>2969</v>
      </c>
      <c r="C195">
        <v>748</v>
      </c>
      <c r="D195">
        <v>49908</v>
      </c>
      <c r="E195" t="s">
        <v>985</v>
      </c>
      <c r="F195" t="s">
        <v>982</v>
      </c>
      <c r="G195" s="1"/>
      <c r="H195" t="str">
        <f t="shared" si="12"/>
        <v>High</v>
      </c>
      <c r="I195">
        <f t="shared" si="13"/>
        <v>49908</v>
      </c>
    </row>
    <row r="196" spans="1:9" x14ac:dyDescent="0.25">
      <c r="A196" t="s">
        <v>1178</v>
      </c>
      <c r="B196">
        <v>8737</v>
      </c>
      <c r="C196">
        <v>693</v>
      </c>
      <c r="D196">
        <v>68886</v>
      </c>
      <c r="E196" t="s">
        <v>985</v>
      </c>
      <c r="F196" t="s">
        <v>987</v>
      </c>
      <c r="G196" s="1"/>
      <c r="H196" t="str">
        <f t="shared" si="12"/>
        <v>High</v>
      </c>
      <c r="I196">
        <f t="shared" si="13"/>
        <v>68886</v>
      </c>
    </row>
    <row r="197" spans="1:9" x14ac:dyDescent="0.25">
      <c r="A197" t="s">
        <v>1179</v>
      </c>
      <c r="B197">
        <v>2104</v>
      </c>
      <c r="C197">
        <v>955</v>
      </c>
      <c r="D197">
        <v>41456</v>
      </c>
      <c r="E197" t="s">
        <v>981</v>
      </c>
      <c r="F197" t="s">
        <v>982</v>
      </c>
      <c r="G197" s="1">
        <v>33965</v>
      </c>
      <c r="H197" t="str">
        <f t="shared" si="12"/>
        <v>High</v>
      </c>
      <c r="I197">
        <f t="shared" si="13"/>
        <v>41456</v>
      </c>
    </row>
    <row r="198" spans="1:9" x14ac:dyDescent="0.25">
      <c r="A198" t="s">
        <v>1180</v>
      </c>
      <c r="B198">
        <v>1702</v>
      </c>
      <c r="C198">
        <v>538</v>
      </c>
      <c r="D198">
        <v>39488</v>
      </c>
      <c r="E198" t="s">
        <v>985</v>
      </c>
      <c r="F198" t="s">
        <v>987</v>
      </c>
      <c r="G198" s="1"/>
      <c r="H198" t="str">
        <f t="shared" si="12"/>
        <v>High</v>
      </c>
      <c r="I198">
        <f t="shared" si="13"/>
        <v>39488</v>
      </c>
    </row>
    <row r="199" spans="1:9" x14ac:dyDescent="0.25">
      <c r="A199" t="s">
        <v>1181</v>
      </c>
      <c r="B199">
        <v>8933</v>
      </c>
      <c r="C199">
        <v>169</v>
      </c>
      <c r="D199">
        <v>75362</v>
      </c>
      <c r="E199" t="s">
        <v>981</v>
      </c>
      <c r="F199" t="s">
        <v>987</v>
      </c>
      <c r="G199" s="1">
        <v>42971</v>
      </c>
      <c r="H199" t="str">
        <f t="shared" si="12"/>
        <v>High</v>
      </c>
      <c r="I199">
        <f t="shared" si="13"/>
        <v>75362</v>
      </c>
    </row>
    <row r="200" spans="1:9" x14ac:dyDescent="0.25">
      <c r="A200" t="s">
        <v>1182</v>
      </c>
      <c r="B200">
        <v>3624</v>
      </c>
      <c r="C200">
        <v>924</v>
      </c>
      <c r="D200">
        <v>73137</v>
      </c>
      <c r="E200" t="s">
        <v>981</v>
      </c>
      <c r="F200" t="s">
        <v>982</v>
      </c>
      <c r="G200" s="1">
        <v>42083</v>
      </c>
      <c r="H200" t="str">
        <f t="shared" si="12"/>
        <v>High</v>
      </c>
      <c r="I200">
        <f t="shared" si="13"/>
        <v>73137</v>
      </c>
    </row>
    <row r="201" spans="1:9" x14ac:dyDescent="0.25">
      <c r="A201" t="s">
        <v>1183</v>
      </c>
      <c r="B201">
        <v>4892</v>
      </c>
      <c r="C201">
        <v>579</v>
      </c>
      <c r="D201">
        <v>77570</v>
      </c>
      <c r="E201" t="s">
        <v>985</v>
      </c>
      <c r="F201" t="s">
        <v>982</v>
      </c>
      <c r="G201" s="1"/>
      <c r="H201" t="str">
        <f t="shared" si="12"/>
        <v>High</v>
      </c>
      <c r="I201">
        <f t="shared" si="13"/>
        <v>77570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841A8-40B1-4855-A4AF-8CBCFD834A9B}">
  <dimension ref="A1:C201"/>
  <sheetViews>
    <sheetView workbookViewId="0">
      <selection activeCell="B2" sqref="B2"/>
    </sheetView>
  </sheetViews>
  <sheetFormatPr defaultRowHeight="15" x14ac:dyDescent="0.25"/>
  <cols>
    <col min="1" max="1" width="7.7109375" bestFit="1" customWidth="1"/>
    <col min="2" max="2" width="12.42578125" bestFit="1" customWidth="1"/>
    <col min="3" max="3" width="11.5703125" bestFit="1" customWidth="1"/>
  </cols>
  <sheetData>
    <row r="1" spans="1:3" x14ac:dyDescent="0.25">
      <c r="A1" t="s">
        <v>1</v>
      </c>
      <c r="B1" t="s">
        <v>972</v>
      </c>
      <c r="C1" t="s">
        <v>973</v>
      </c>
    </row>
    <row r="2" spans="1:3" x14ac:dyDescent="0.25">
      <c r="A2">
        <v>31</v>
      </c>
      <c r="B2" s="1">
        <v>29164</v>
      </c>
      <c r="C2" s="1">
        <v>30452</v>
      </c>
    </row>
    <row r="3" spans="1:3" x14ac:dyDescent="0.25">
      <c r="A3">
        <v>495</v>
      </c>
      <c r="B3" s="1">
        <v>41908</v>
      </c>
      <c r="C3" s="1">
        <v>49045</v>
      </c>
    </row>
    <row r="4" spans="1:3" x14ac:dyDescent="0.25">
      <c r="A4">
        <v>795</v>
      </c>
      <c r="B4" s="1">
        <v>30612</v>
      </c>
      <c r="C4" s="1">
        <v>37450</v>
      </c>
    </row>
    <row r="5" spans="1:3" x14ac:dyDescent="0.25">
      <c r="A5">
        <v>33</v>
      </c>
      <c r="B5" s="1">
        <v>34491</v>
      </c>
      <c r="C5" s="1">
        <v>41061</v>
      </c>
    </row>
    <row r="6" spans="1:3" x14ac:dyDescent="0.25">
      <c r="A6">
        <v>882</v>
      </c>
      <c r="B6" s="1">
        <v>37044</v>
      </c>
      <c r="C6" s="1">
        <v>41846</v>
      </c>
    </row>
    <row r="7" spans="1:3" x14ac:dyDescent="0.25">
      <c r="A7">
        <v>657</v>
      </c>
      <c r="B7" s="1">
        <v>31583</v>
      </c>
      <c r="C7" s="1">
        <v>38920</v>
      </c>
    </row>
    <row r="8" spans="1:3" x14ac:dyDescent="0.25">
      <c r="A8">
        <v>761</v>
      </c>
      <c r="B8" s="1">
        <v>27099</v>
      </c>
      <c r="C8" s="1">
        <v>29521</v>
      </c>
    </row>
    <row r="9" spans="1:3" x14ac:dyDescent="0.25">
      <c r="A9">
        <v>20</v>
      </c>
      <c r="B9" s="1">
        <v>26261</v>
      </c>
      <c r="C9" s="1">
        <v>31010</v>
      </c>
    </row>
    <row r="10" spans="1:3" x14ac:dyDescent="0.25">
      <c r="A10">
        <v>356</v>
      </c>
      <c r="B10" s="1">
        <v>39964</v>
      </c>
      <c r="C10" s="1">
        <v>41914</v>
      </c>
    </row>
    <row r="11" spans="1:3" x14ac:dyDescent="0.25">
      <c r="A11">
        <v>301</v>
      </c>
      <c r="B11" s="1">
        <v>43183</v>
      </c>
      <c r="C11" s="1">
        <v>49672</v>
      </c>
    </row>
    <row r="12" spans="1:3" x14ac:dyDescent="0.25">
      <c r="A12">
        <v>450</v>
      </c>
      <c r="B12" s="1">
        <v>26914</v>
      </c>
      <c r="C12" s="1">
        <v>30324</v>
      </c>
    </row>
    <row r="13" spans="1:3" x14ac:dyDescent="0.25">
      <c r="A13">
        <v>782</v>
      </c>
      <c r="B13" s="1">
        <v>37161</v>
      </c>
      <c r="C13" s="1">
        <v>41937</v>
      </c>
    </row>
    <row r="14" spans="1:3" x14ac:dyDescent="0.25">
      <c r="A14">
        <v>820</v>
      </c>
      <c r="B14" s="1">
        <v>41028</v>
      </c>
      <c r="C14" s="1">
        <v>45546</v>
      </c>
    </row>
    <row r="15" spans="1:3" x14ac:dyDescent="0.25">
      <c r="A15">
        <v>316</v>
      </c>
      <c r="B15" s="1">
        <v>30104</v>
      </c>
      <c r="C15" s="1">
        <v>32121</v>
      </c>
    </row>
    <row r="16" spans="1:3" x14ac:dyDescent="0.25">
      <c r="A16">
        <v>945</v>
      </c>
      <c r="B16" s="1">
        <v>27616</v>
      </c>
      <c r="C16" s="1">
        <v>33380</v>
      </c>
    </row>
    <row r="17" spans="1:3" x14ac:dyDescent="0.25">
      <c r="A17">
        <v>174</v>
      </c>
      <c r="B17" s="1">
        <v>41896</v>
      </c>
      <c r="C17" s="1">
        <v>43760</v>
      </c>
    </row>
    <row r="18" spans="1:3" x14ac:dyDescent="0.25">
      <c r="A18">
        <v>634</v>
      </c>
      <c r="B18" s="1">
        <v>38125</v>
      </c>
      <c r="C18" s="1">
        <v>42624</v>
      </c>
    </row>
    <row r="19" spans="1:3" x14ac:dyDescent="0.25">
      <c r="A19">
        <v>456</v>
      </c>
      <c r="B19" s="1">
        <v>42368</v>
      </c>
      <c r="C19" s="1">
        <v>48934</v>
      </c>
    </row>
    <row r="20" spans="1:3" x14ac:dyDescent="0.25">
      <c r="A20">
        <v>0</v>
      </c>
      <c r="B20" s="1">
        <v>42368</v>
      </c>
      <c r="C20" s="1">
        <v>44088</v>
      </c>
    </row>
    <row r="21" spans="1:3" x14ac:dyDescent="0.25">
      <c r="A21">
        <v>186</v>
      </c>
      <c r="B21" s="1">
        <v>30612</v>
      </c>
      <c r="C21" s="1">
        <v>34471</v>
      </c>
    </row>
    <row r="22" spans="1:3" x14ac:dyDescent="0.25">
      <c r="A22">
        <v>596</v>
      </c>
      <c r="B22" s="1">
        <v>42003</v>
      </c>
      <c r="C22" s="1">
        <v>48009</v>
      </c>
    </row>
    <row r="23" spans="1:3" x14ac:dyDescent="0.25">
      <c r="A23">
        <v>245</v>
      </c>
      <c r="B23" s="1">
        <v>34702</v>
      </c>
      <c r="C23" s="1">
        <v>36783</v>
      </c>
    </row>
    <row r="24" spans="1:3" x14ac:dyDescent="0.25">
      <c r="A24">
        <v>17</v>
      </c>
      <c r="B24" s="1">
        <v>29072</v>
      </c>
      <c r="C24" s="1">
        <v>35280</v>
      </c>
    </row>
    <row r="25" spans="1:3" x14ac:dyDescent="0.25">
      <c r="A25">
        <v>48</v>
      </c>
      <c r="B25" s="1">
        <v>37783</v>
      </c>
      <c r="C25" s="1">
        <v>40253</v>
      </c>
    </row>
    <row r="26" spans="1:3" x14ac:dyDescent="0.25">
      <c r="A26">
        <v>457</v>
      </c>
      <c r="B26" s="1">
        <v>27186</v>
      </c>
      <c r="C26" s="1">
        <v>28042</v>
      </c>
    </row>
    <row r="27" spans="1:3" x14ac:dyDescent="0.25">
      <c r="A27">
        <v>944</v>
      </c>
      <c r="B27" s="1">
        <v>34590</v>
      </c>
      <c r="C27" s="1">
        <v>39192</v>
      </c>
    </row>
    <row r="28" spans="1:3" x14ac:dyDescent="0.25">
      <c r="A28">
        <v>516</v>
      </c>
      <c r="B28" s="1">
        <v>37813</v>
      </c>
      <c r="C28" s="1">
        <v>40269</v>
      </c>
    </row>
    <row r="29" spans="1:3" x14ac:dyDescent="0.25">
      <c r="A29">
        <v>847</v>
      </c>
      <c r="B29" s="1">
        <v>33752</v>
      </c>
      <c r="C29" s="1">
        <v>36913</v>
      </c>
    </row>
    <row r="30" spans="1:3" x14ac:dyDescent="0.25">
      <c r="A30">
        <v>504</v>
      </c>
      <c r="B30" s="1">
        <v>29175</v>
      </c>
      <c r="C30" s="1">
        <v>32461</v>
      </c>
    </row>
    <row r="31" spans="1:3" x14ac:dyDescent="0.25">
      <c r="A31">
        <v>115</v>
      </c>
      <c r="B31" s="1">
        <v>40345</v>
      </c>
      <c r="C31" s="1">
        <v>41183</v>
      </c>
    </row>
    <row r="32" spans="1:3" x14ac:dyDescent="0.25">
      <c r="A32">
        <v>740</v>
      </c>
      <c r="B32" s="1">
        <v>26189</v>
      </c>
      <c r="C32" s="1">
        <v>26840</v>
      </c>
    </row>
    <row r="33" spans="1:3" x14ac:dyDescent="0.25">
      <c r="A33">
        <v>884</v>
      </c>
      <c r="B33" s="1">
        <v>34882</v>
      </c>
      <c r="C33" s="1">
        <v>41522</v>
      </c>
    </row>
    <row r="34" spans="1:3" x14ac:dyDescent="0.25">
      <c r="A34">
        <v>446</v>
      </c>
      <c r="B34" s="1">
        <v>35806</v>
      </c>
      <c r="C34" s="1">
        <v>42557</v>
      </c>
    </row>
    <row r="35" spans="1:3" x14ac:dyDescent="0.25">
      <c r="A35">
        <v>74</v>
      </c>
      <c r="B35" s="1">
        <v>30200</v>
      </c>
      <c r="C35" s="1">
        <v>37114</v>
      </c>
    </row>
    <row r="36" spans="1:3" x14ac:dyDescent="0.25">
      <c r="A36">
        <v>636</v>
      </c>
      <c r="B36" s="1">
        <v>36289</v>
      </c>
      <c r="C36" s="1">
        <v>38504</v>
      </c>
    </row>
    <row r="37" spans="1:3" x14ac:dyDescent="0.25">
      <c r="A37">
        <v>37</v>
      </c>
      <c r="B37" s="1">
        <v>38247</v>
      </c>
      <c r="C37" s="1">
        <v>45446</v>
      </c>
    </row>
    <row r="38" spans="1:3" x14ac:dyDescent="0.25">
      <c r="A38">
        <v>804</v>
      </c>
      <c r="B38" s="1">
        <v>35666</v>
      </c>
      <c r="C38" s="1">
        <v>40366</v>
      </c>
    </row>
    <row r="39" spans="1:3" x14ac:dyDescent="0.25">
      <c r="A39">
        <v>694</v>
      </c>
      <c r="B39" s="1">
        <v>37775</v>
      </c>
      <c r="C39" s="1">
        <v>41767</v>
      </c>
    </row>
    <row r="40" spans="1:3" x14ac:dyDescent="0.25">
      <c r="A40">
        <v>198</v>
      </c>
      <c r="B40" s="1">
        <v>35922</v>
      </c>
      <c r="C40" s="1">
        <v>42733</v>
      </c>
    </row>
    <row r="41" spans="1:3" x14ac:dyDescent="0.25">
      <c r="A41">
        <v>576</v>
      </c>
      <c r="B41" s="1">
        <v>27763</v>
      </c>
      <c r="C41" s="1">
        <v>31305</v>
      </c>
    </row>
    <row r="42" spans="1:3" x14ac:dyDescent="0.25">
      <c r="A42">
        <v>754</v>
      </c>
      <c r="B42" s="1">
        <v>40312</v>
      </c>
      <c r="C42" s="1">
        <v>46709</v>
      </c>
    </row>
    <row r="43" spans="1:3" x14ac:dyDescent="0.25">
      <c r="A43">
        <v>547</v>
      </c>
      <c r="B43" s="1">
        <v>38948</v>
      </c>
      <c r="C43" s="1">
        <v>44564</v>
      </c>
    </row>
    <row r="44" spans="1:3" x14ac:dyDescent="0.25">
      <c r="A44">
        <v>656</v>
      </c>
      <c r="B44" s="1">
        <v>30479</v>
      </c>
      <c r="C44" s="1">
        <v>37219</v>
      </c>
    </row>
    <row r="45" spans="1:3" x14ac:dyDescent="0.25">
      <c r="A45">
        <v>654</v>
      </c>
      <c r="B45" s="1">
        <v>35927</v>
      </c>
      <c r="C45" s="1">
        <v>39342</v>
      </c>
    </row>
    <row r="46" spans="1:3" x14ac:dyDescent="0.25">
      <c r="A46">
        <v>646</v>
      </c>
      <c r="B46" s="1">
        <v>41348</v>
      </c>
      <c r="C46" s="1">
        <v>45448</v>
      </c>
    </row>
    <row r="47" spans="1:3" x14ac:dyDescent="0.25">
      <c r="A47">
        <v>250</v>
      </c>
      <c r="B47" s="1">
        <v>41746</v>
      </c>
      <c r="C47" s="1">
        <v>44742</v>
      </c>
    </row>
    <row r="48" spans="1:3" x14ac:dyDescent="0.25">
      <c r="A48">
        <v>81</v>
      </c>
      <c r="B48" s="1">
        <v>26021</v>
      </c>
      <c r="C48" s="1">
        <v>30403</v>
      </c>
    </row>
    <row r="49" spans="1:3" x14ac:dyDescent="0.25">
      <c r="A49">
        <v>898</v>
      </c>
      <c r="B49" s="1">
        <v>29175</v>
      </c>
      <c r="C49" s="1">
        <v>30472</v>
      </c>
    </row>
    <row r="50" spans="1:3" x14ac:dyDescent="0.25">
      <c r="A50">
        <v>461</v>
      </c>
      <c r="B50" s="1">
        <v>42926</v>
      </c>
      <c r="C50" s="1">
        <v>48907</v>
      </c>
    </row>
    <row r="51" spans="1:3" x14ac:dyDescent="0.25">
      <c r="A51">
        <v>390</v>
      </c>
      <c r="B51" s="1">
        <v>39331</v>
      </c>
      <c r="C51" s="1">
        <v>44555</v>
      </c>
    </row>
    <row r="52" spans="1:3" x14ac:dyDescent="0.25">
      <c r="A52">
        <v>988</v>
      </c>
      <c r="B52" s="1">
        <v>30950</v>
      </c>
      <c r="C52" s="1">
        <v>31610</v>
      </c>
    </row>
    <row r="53" spans="1:3" x14ac:dyDescent="0.25">
      <c r="A53">
        <v>597</v>
      </c>
      <c r="B53" s="1">
        <v>29072</v>
      </c>
      <c r="C53" s="1">
        <v>33197</v>
      </c>
    </row>
    <row r="54" spans="1:3" x14ac:dyDescent="0.25">
      <c r="A54">
        <v>916</v>
      </c>
      <c r="B54" s="1">
        <v>39964</v>
      </c>
      <c r="C54" s="1">
        <v>44504</v>
      </c>
    </row>
    <row r="55" spans="1:3" x14ac:dyDescent="0.25">
      <c r="A55">
        <v>135</v>
      </c>
      <c r="B55" s="1">
        <v>30298</v>
      </c>
      <c r="C55" s="1">
        <v>35154</v>
      </c>
    </row>
    <row r="56" spans="1:3" x14ac:dyDescent="0.25">
      <c r="A56">
        <v>262</v>
      </c>
      <c r="B56" s="1">
        <v>40299</v>
      </c>
      <c r="C56" s="1">
        <v>44142</v>
      </c>
    </row>
    <row r="57" spans="1:3" x14ac:dyDescent="0.25">
      <c r="A57">
        <v>844</v>
      </c>
      <c r="B57" s="1">
        <v>31375</v>
      </c>
      <c r="C57" s="1">
        <v>32024</v>
      </c>
    </row>
    <row r="58" spans="1:3" x14ac:dyDescent="0.25">
      <c r="A58">
        <v>169</v>
      </c>
      <c r="B58" s="1">
        <v>27971</v>
      </c>
      <c r="C58" s="1">
        <v>34846</v>
      </c>
    </row>
    <row r="59" spans="1:3" x14ac:dyDescent="0.25">
      <c r="A59">
        <v>671</v>
      </c>
      <c r="B59" s="1">
        <v>37775</v>
      </c>
      <c r="C59" s="1">
        <v>40119</v>
      </c>
    </row>
    <row r="60" spans="1:3" x14ac:dyDescent="0.25">
      <c r="A60">
        <v>353</v>
      </c>
      <c r="B60" s="1">
        <v>32419</v>
      </c>
      <c r="C60" s="1">
        <v>39518</v>
      </c>
    </row>
    <row r="61" spans="1:3" x14ac:dyDescent="0.25">
      <c r="A61">
        <v>776</v>
      </c>
      <c r="B61" s="1">
        <v>42858</v>
      </c>
      <c r="C61" s="1">
        <v>44214</v>
      </c>
    </row>
    <row r="62" spans="1:3" x14ac:dyDescent="0.25">
      <c r="A62">
        <v>205</v>
      </c>
      <c r="B62" s="1">
        <v>33918</v>
      </c>
      <c r="C62" s="1">
        <v>37102</v>
      </c>
    </row>
    <row r="63" spans="1:3" x14ac:dyDescent="0.25">
      <c r="A63">
        <v>705</v>
      </c>
      <c r="B63" s="1">
        <v>38692</v>
      </c>
      <c r="C63" s="1">
        <v>44323</v>
      </c>
    </row>
    <row r="64" spans="1:3" x14ac:dyDescent="0.25">
      <c r="A64">
        <v>10</v>
      </c>
      <c r="B64" s="1">
        <v>34702</v>
      </c>
      <c r="C64" s="1">
        <v>36802</v>
      </c>
    </row>
    <row r="65" spans="1:3" x14ac:dyDescent="0.25">
      <c r="A65">
        <v>195</v>
      </c>
      <c r="B65" s="1">
        <v>40882</v>
      </c>
      <c r="C65" s="1">
        <v>41117</v>
      </c>
    </row>
    <row r="66" spans="1:3" x14ac:dyDescent="0.25">
      <c r="A66">
        <v>136</v>
      </c>
      <c r="B66" s="1">
        <v>28365</v>
      </c>
      <c r="C66" s="1">
        <v>35317</v>
      </c>
    </row>
    <row r="67" spans="1:3" x14ac:dyDescent="0.25">
      <c r="A67">
        <v>500</v>
      </c>
      <c r="B67" s="1">
        <v>40312</v>
      </c>
      <c r="C67" s="1">
        <v>41125</v>
      </c>
    </row>
    <row r="68" spans="1:3" x14ac:dyDescent="0.25">
      <c r="A68">
        <v>969</v>
      </c>
      <c r="B68" s="1">
        <v>29901</v>
      </c>
      <c r="C68" s="1">
        <v>36594</v>
      </c>
    </row>
    <row r="69" spans="1:3" x14ac:dyDescent="0.25">
      <c r="A69">
        <v>817</v>
      </c>
      <c r="B69" s="1">
        <v>37522</v>
      </c>
      <c r="C69" s="1">
        <v>38801</v>
      </c>
    </row>
    <row r="70" spans="1:3" x14ac:dyDescent="0.25">
      <c r="A70">
        <v>833</v>
      </c>
      <c r="B70" s="1">
        <v>34590</v>
      </c>
      <c r="C70" s="1">
        <v>40297</v>
      </c>
    </row>
    <row r="71" spans="1:3" x14ac:dyDescent="0.25">
      <c r="A71">
        <v>221</v>
      </c>
      <c r="B71" s="1">
        <v>30316</v>
      </c>
      <c r="C71" s="1">
        <v>31268</v>
      </c>
    </row>
    <row r="72" spans="1:3" x14ac:dyDescent="0.25">
      <c r="A72">
        <v>77</v>
      </c>
      <c r="B72" s="1">
        <v>35387</v>
      </c>
      <c r="C72" s="1">
        <v>42482</v>
      </c>
    </row>
    <row r="73" spans="1:3" x14ac:dyDescent="0.25">
      <c r="A73">
        <v>800</v>
      </c>
      <c r="B73" s="1">
        <v>32842</v>
      </c>
      <c r="C73" s="1">
        <v>39978</v>
      </c>
    </row>
    <row r="74" spans="1:3" x14ac:dyDescent="0.25">
      <c r="A74">
        <v>146</v>
      </c>
      <c r="B74" s="1">
        <v>36613</v>
      </c>
      <c r="C74" s="1">
        <v>39002</v>
      </c>
    </row>
    <row r="75" spans="1:3" x14ac:dyDescent="0.25">
      <c r="A75">
        <v>531</v>
      </c>
      <c r="B75" s="1">
        <v>40143</v>
      </c>
      <c r="C75" s="1">
        <v>46708</v>
      </c>
    </row>
    <row r="76" spans="1:3" x14ac:dyDescent="0.25">
      <c r="A76">
        <v>503</v>
      </c>
      <c r="B76" s="1">
        <v>36013</v>
      </c>
      <c r="C76" s="1">
        <v>41934</v>
      </c>
    </row>
    <row r="77" spans="1:3" x14ac:dyDescent="0.25">
      <c r="A77">
        <v>19</v>
      </c>
      <c r="B77" s="1">
        <v>40529</v>
      </c>
      <c r="C77" s="1">
        <v>44199</v>
      </c>
    </row>
    <row r="78" spans="1:3" x14ac:dyDescent="0.25">
      <c r="A78">
        <v>897</v>
      </c>
      <c r="B78" s="1">
        <v>35922</v>
      </c>
      <c r="C78" s="1">
        <v>36252</v>
      </c>
    </row>
    <row r="79" spans="1:3" x14ac:dyDescent="0.25">
      <c r="A79">
        <v>703</v>
      </c>
      <c r="B79" s="1">
        <v>31441</v>
      </c>
      <c r="C79" s="1">
        <v>31780</v>
      </c>
    </row>
    <row r="80" spans="1:3" x14ac:dyDescent="0.25">
      <c r="A80">
        <v>249</v>
      </c>
      <c r="B80" s="1">
        <v>37119</v>
      </c>
      <c r="C80" s="1">
        <v>37384</v>
      </c>
    </row>
    <row r="81" spans="1:3" x14ac:dyDescent="0.25">
      <c r="A81">
        <v>360</v>
      </c>
      <c r="B81" s="1">
        <v>29113</v>
      </c>
      <c r="C81" s="1">
        <v>34515</v>
      </c>
    </row>
    <row r="82" spans="1:3" x14ac:dyDescent="0.25">
      <c r="A82">
        <v>327</v>
      </c>
      <c r="B82" s="1">
        <v>42960</v>
      </c>
      <c r="C82" s="1">
        <v>46401</v>
      </c>
    </row>
    <row r="83" spans="1:3" x14ac:dyDescent="0.25">
      <c r="A83">
        <v>121</v>
      </c>
      <c r="B83" s="1">
        <v>41167</v>
      </c>
      <c r="C83" s="1">
        <v>42238</v>
      </c>
    </row>
    <row r="84" spans="1:3" x14ac:dyDescent="0.25">
      <c r="A84">
        <v>614</v>
      </c>
      <c r="B84" s="1">
        <v>31441</v>
      </c>
      <c r="C84" s="1">
        <v>32606</v>
      </c>
    </row>
    <row r="85" spans="1:3" x14ac:dyDescent="0.25">
      <c r="A85">
        <v>80</v>
      </c>
      <c r="B85" s="1">
        <v>38436</v>
      </c>
      <c r="C85" s="1">
        <v>45198</v>
      </c>
    </row>
    <row r="86" spans="1:3" x14ac:dyDescent="0.25">
      <c r="A86">
        <v>401</v>
      </c>
      <c r="B86" s="1">
        <v>36906</v>
      </c>
      <c r="C86" s="1">
        <v>39080</v>
      </c>
    </row>
    <row r="87" spans="1:3" x14ac:dyDescent="0.25">
      <c r="A87">
        <v>914</v>
      </c>
      <c r="B87" s="1">
        <v>31368</v>
      </c>
      <c r="C87" s="1">
        <v>36107</v>
      </c>
    </row>
    <row r="88" spans="1:3" x14ac:dyDescent="0.25">
      <c r="A88">
        <v>713</v>
      </c>
      <c r="B88" s="1">
        <v>28068</v>
      </c>
      <c r="C88" s="1">
        <v>33221</v>
      </c>
    </row>
    <row r="89" spans="1:3" x14ac:dyDescent="0.25">
      <c r="A89">
        <v>568</v>
      </c>
      <c r="B89" s="1">
        <v>33031</v>
      </c>
      <c r="C89" s="1">
        <v>37004</v>
      </c>
    </row>
    <row r="90" spans="1:3" x14ac:dyDescent="0.25">
      <c r="A90">
        <v>752</v>
      </c>
      <c r="B90" s="1">
        <v>41782</v>
      </c>
      <c r="C90" s="1">
        <v>42648</v>
      </c>
    </row>
    <row r="91" spans="1:3" x14ac:dyDescent="0.25">
      <c r="A91">
        <v>867</v>
      </c>
      <c r="B91" s="1">
        <v>39674</v>
      </c>
      <c r="C91" s="1">
        <v>45603</v>
      </c>
    </row>
    <row r="92" spans="1:3" x14ac:dyDescent="0.25">
      <c r="A92">
        <v>980</v>
      </c>
      <c r="B92" s="1">
        <v>37525</v>
      </c>
      <c r="C92" s="1">
        <v>42541</v>
      </c>
    </row>
    <row r="93" spans="1:3" x14ac:dyDescent="0.25">
      <c r="A93">
        <v>704</v>
      </c>
      <c r="B93" s="1">
        <v>41603</v>
      </c>
      <c r="C93" s="1">
        <v>47401</v>
      </c>
    </row>
    <row r="94" spans="1:3" x14ac:dyDescent="0.25">
      <c r="A94">
        <v>598</v>
      </c>
      <c r="B94" s="1">
        <v>31583</v>
      </c>
      <c r="C94" s="1">
        <v>35172</v>
      </c>
    </row>
    <row r="95" spans="1:3" x14ac:dyDescent="0.25">
      <c r="A95">
        <v>932</v>
      </c>
      <c r="B95" s="1">
        <v>31145</v>
      </c>
      <c r="C95" s="1">
        <v>33985</v>
      </c>
    </row>
    <row r="96" spans="1:3" x14ac:dyDescent="0.25">
      <c r="A96">
        <v>834</v>
      </c>
      <c r="B96" s="1">
        <v>35575</v>
      </c>
      <c r="C96" s="1">
        <v>42548</v>
      </c>
    </row>
    <row r="97" spans="1:3" x14ac:dyDescent="0.25">
      <c r="A97">
        <v>209</v>
      </c>
      <c r="B97" s="1">
        <v>29908</v>
      </c>
      <c r="C97" s="1">
        <v>34324</v>
      </c>
    </row>
    <row r="98" spans="1:3" x14ac:dyDescent="0.25">
      <c r="A98">
        <v>330</v>
      </c>
      <c r="B98" s="1">
        <v>34590</v>
      </c>
      <c r="C98" s="1">
        <v>38534</v>
      </c>
    </row>
    <row r="99" spans="1:3" x14ac:dyDescent="0.25">
      <c r="A99">
        <v>138</v>
      </c>
      <c r="B99" s="1">
        <v>34411</v>
      </c>
      <c r="C99" s="1">
        <v>40164</v>
      </c>
    </row>
    <row r="100" spans="1:3" x14ac:dyDescent="0.25">
      <c r="A100">
        <v>981</v>
      </c>
      <c r="B100" s="1">
        <v>28204</v>
      </c>
      <c r="C100" s="1">
        <v>34784</v>
      </c>
    </row>
    <row r="101" spans="1:3" x14ac:dyDescent="0.25">
      <c r="A101">
        <v>130</v>
      </c>
      <c r="B101" s="1">
        <v>38640</v>
      </c>
      <c r="C101" s="1">
        <v>40002</v>
      </c>
    </row>
    <row r="102" spans="1:3" x14ac:dyDescent="0.25">
      <c r="A102">
        <v>685</v>
      </c>
      <c r="B102" s="1">
        <v>27099</v>
      </c>
      <c r="C102" s="1">
        <v>30644</v>
      </c>
    </row>
    <row r="103" spans="1:3" x14ac:dyDescent="0.25">
      <c r="A103">
        <v>544</v>
      </c>
      <c r="B103" s="1">
        <v>43375</v>
      </c>
      <c r="C103" s="1">
        <v>50746</v>
      </c>
    </row>
    <row r="104" spans="1:3" x14ac:dyDescent="0.25">
      <c r="A104">
        <v>384</v>
      </c>
      <c r="B104" s="1">
        <v>37462</v>
      </c>
      <c r="C104" s="1">
        <v>41946</v>
      </c>
    </row>
    <row r="105" spans="1:3" x14ac:dyDescent="0.25">
      <c r="A105">
        <v>467</v>
      </c>
      <c r="B105" s="1">
        <v>30178</v>
      </c>
      <c r="C105" s="1">
        <v>34084</v>
      </c>
    </row>
    <row r="106" spans="1:3" x14ac:dyDescent="0.25">
      <c r="A106">
        <v>112</v>
      </c>
      <c r="B106" s="1">
        <v>38334</v>
      </c>
      <c r="C106" s="1">
        <v>38932</v>
      </c>
    </row>
    <row r="107" spans="1:3" x14ac:dyDescent="0.25">
      <c r="A107">
        <v>906</v>
      </c>
      <c r="B107" s="1">
        <v>41028</v>
      </c>
      <c r="C107" s="1">
        <v>44948</v>
      </c>
    </row>
    <row r="108" spans="1:3" x14ac:dyDescent="0.25">
      <c r="A108">
        <v>609</v>
      </c>
      <c r="B108" s="1">
        <v>34249</v>
      </c>
      <c r="C108" s="1">
        <v>37326</v>
      </c>
    </row>
    <row r="109" spans="1:3" x14ac:dyDescent="0.25">
      <c r="A109">
        <v>379</v>
      </c>
      <c r="B109" s="1">
        <v>37813</v>
      </c>
      <c r="C109" s="1">
        <v>40733</v>
      </c>
    </row>
    <row r="110" spans="1:3" x14ac:dyDescent="0.25">
      <c r="A110">
        <v>357</v>
      </c>
      <c r="B110" s="1">
        <v>29105</v>
      </c>
      <c r="C110" s="1">
        <v>30098</v>
      </c>
    </row>
    <row r="111" spans="1:3" x14ac:dyDescent="0.25">
      <c r="A111">
        <v>364</v>
      </c>
      <c r="B111" s="1">
        <v>41589</v>
      </c>
      <c r="C111" s="1">
        <v>44826</v>
      </c>
    </row>
    <row r="112" spans="1:3" x14ac:dyDescent="0.25">
      <c r="A112">
        <v>69</v>
      </c>
      <c r="B112" s="1">
        <v>27616</v>
      </c>
      <c r="C112" s="1">
        <v>31593</v>
      </c>
    </row>
    <row r="113" spans="1:3" x14ac:dyDescent="0.25">
      <c r="A113">
        <v>973</v>
      </c>
      <c r="B113" s="1">
        <v>39784</v>
      </c>
      <c r="C113" s="1">
        <v>46105</v>
      </c>
    </row>
    <row r="114" spans="1:3" x14ac:dyDescent="0.25">
      <c r="A114">
        <v>455</v>
      </c>
      <c r="B114" s="1">
        <v>27310</v>
      </c>
      <c r="C114" s="1">
        <v>32333</v>
      </c>
    </row>
    <row r="115" spans="1:3" x14ac:dyDescent="0.25">
      <c r="A115">
        <v>247</v>
      </c>
      <c r="B115" s="1">
        <v>25935</v>
      </c>
      <c r="C115" s="1">
        <v>30207</v>
      </c>
    </row>
    <row r="116" spans="1:3" x14ac:dyDescent="0.25">
      <c r="A116">
        <v>491</v>
      </c>
      <c r="B116" s="1">
        <v>39557</v>
      </c>
      <c r="C116" s="1">
        <v>44427</v>
      </c>
    </row>
    <row r="117" spans="1:3" x14ac:dyDescent="0.25">
      <c r="A117">
        <v>826</v>
      </c>
      <c r="B117" s="1">
        <v>41487</v>
      </c>
      <c r="C117" s="1">
        <v>45451</v>
      </c>
    </row>
    <row r="118" spans="1:3" x14ac:dyDescent="0.25">
      <c r="A118">
        <v>400</v>
      </c>
      <c r="B118" s="1">
        <v>38732</v>
      </c>
      <c r="C118" s="1">
        <v>43894</v>
      </c>
    </row>
    <row r="119" spans="1:3" x14ac:dyDescent="0.25">
      <c r="A119">
        <v>271</v>
      </c>
      <c r="B119" s="1">
        <v>40353</v>
      </c>
      <c r="C119" s="1">
        <v>47425</v>
      </c>
    </row>
    <row r="120" spans="1:3" x14ac:dyDescent="0.25">
      <c r="A120">
        <v>110</v>
      </c>
      <c r="B120" s="1">
        <v>41589</v>
      </c>
      <c r="C120" s="1">
        <v>44773</v>
      </c>
    </row>
    <row r="121" spans="1:3" x14ac:dyDescent="0.25">
      <c r="A121">
        <v>277</v>
      </c>
      <c r="B121" s="1">
        <v>40312</v>
      </c>
      <c r="C121" s="1">
        <v>42939</v>
      </c>
    </row>
    <row r="122" spans="1:3" x14ac:dyDescent="0.25">
      <c r="A122">
        <v>85</v>
      </c>
      <c r="B122" s="1">
        <v>36058</v>
      </c>
      <c r="C122" s="1">
        <v>43402</v>
      </c>
    </row>
    <row r="123" spans="1:3" x14ac:dyDescent="0.25">
      <c r="A123">
        <v>863</v>
      </c>
      <c r="B123" s="1">
        <v>36850</v>
      </c>
      <c r="C123" s="1">
        <v>39795</v>
      </c>
    </row>
    <row r="124" spans="1:3" x14ac:dyDescent="0.25">
      <c r="A124">
        <v>731</v>
      </c>
      <c r="B124" s="1">
        <v>29331</v>
      </c>
      <c r="C124" s="1">
        <v>31520</v>
      </c>
    </row>
    <row r="125" spans="1:3" x14ac:dyDescent="0.25">
      <c r="A125">
        <v>638</v>
      </c>
      <c r="B125" s="1">
        <v>42876</v>
      </c>
      <c r="C125" s="1">
        <v>45275</v>
      </c>
    </row>
    <row r="126" spans="1:3" x14ac:dyDescent="0.25">
      <c r="A126">
        <v>275</v>
      </c>
      <c r="B126" s="1">
        <v>34426</v>
      </c>
      <c r="C126" s="1">
        <v>38002</v>
      </c>
    </row>
    <row r="127" spans="1:3" x14ac:dyDescent="0.25">
      <c r="A127">
        <v>278</v>
      </c>
      <c r="B127" s="1">
        <v>28397</v>
      </c>
      <c r="C127" s="1">
        <v>31787</v>
      </c>
    </row>
    <row r="128" spans="1:3" x14ac:dyDescent="0.25">
      <c r="A128">
        <v>948</v>
      </c>
      <c r="B128" s="1">
        <v>40565</v>
      </c>
      <c r="C128" s="1">
        <v>42654</v>
      </c>
    </row>
    <row r="129" spans="1:3" x14ac:dyDescent="0.25">
      <c r="A129">
        <v>912</v>
      </c>
      <c r="B129" s="1">
        <v>28370</v>
      </c>
      <c r="C129" s="1">
        <v>28932</v>
      </c>
    </row>
    <row r="130" spans="1:3" x14ac:dyDescent="0.25">
      <c r="A130">
        <v>426</v>
      </c>
      <c r="B130" s="1">
        <v>39390</v>
      </c>
      <c r="C130" s="1">
        <v>45663</v>
      </c>
    </row>
    <row r="131" spans="1:3" x14ac:dyDescent="0.25">
      <c r="A131">
        <v>735</v>
      </c>
      <c r="B131" s="1">
        <v>32245</v>
      </c>
      <c r="C131" s="1">
        <v>37459</v>
      </c>
    </row>
    <row r="132" spans="1:3" x14ac:dyDescent="0.25">
      <c r="A132">
        <v>666</v>
      </c>
      <c r="B132" s="1">
        <v>32166</v>
      </c>
      <c r="C132" s="1">
        <v>39254</v>
      </c>
    </row>
    <row r="133" spans="1:3" x14ac:dyDescent="0.25">
      <c r="A133">
        <v>888</v>
      </c>
      <c r="B133" s="1">
        <v>39669</v>
      </c>
      <c r="C133" s="1">
        <v>40341</v>
      </c>
    </row>
    <row r="134" spans="1:3" x14ac:dyDescent="0.25">
      <c r="A134">
        <v>310</v>
      </c>
      <c r="B134" s="1">
        <v>26413</v>
      </c>
      <c r="C134" s="1">
        <v>30022</v>
      </c>
    </row>
    <row r="135" spans="1:3" x14ac:dyDescent="0.25">
      <c r="A135">
        <v>43</v>
      </c>
      <c r="B135" s="1">
        <v>30200</v>
      </c>
      <c r="C135" s="1">
        <v>34861</v>
      </c>
    </row>
    <row r="136" spans="1:3" x14ac:dyDescent="0.25">
      <c r="A136">
        <v>722</v>
      </c>
      <c r="B136" s="1">
        <v>30033</v>
      </c>
      <c r="C136" s="1">
        <v>35533</v>
      </c>
    </row>
    <row r="137" spans="1:3" x14ac:dyDescent="0.25">
      <c r="A137">
        <v>233</v>
      </c>
      <c r="B137" s="1">
        <v>36315</v>
      </c>
      <c r="C137" s="1">
        <v>42362</v>
      </c>
    </row>
    <row r="138" spans="1:3" x14ac:dyDescent="0.25">
      <c r="A138">
        <v>392</v>
      </c>
      <c r="B138" s="1">
        <v>28109</v>
      </c>
      <c r="C138" s="1">
        <v>28839</v>
      </c>
    </row>
    <row r="139" spans="1:3" x14ac:dyDescent="0.25">
      <c r="A139">
        <v>527</v>
      </c>
      <c r="B139" s="1">
        <v>26995</v>
      </c>
      <c r="C139" s="1">
        <v>29875</v>
      </c>
    </row>
    <row r="140" spans="1:3" x14ac:dyDescent="0.25">
      <c r="A140">
        <v>767</v>
      </c>
      <c r="B140" s="1">
        <v>26914</v>
      </c>
      <c r="C140" s="1">
        <v>28047</v>
      </c>
    </row>
    <row r="141" spans="1:3" x14ac:dyDescent="0.25">
      <c r="A141">
        <v>650</v>
      </c>
      <c r="B141" s="1">
        <v>30958</v>
      </c>
      <c r="C141" s="1">
        <v>33313</v>
      </c>
    </row>
    <row r="142" spans="1:3" x14ac:dyDescent="0.25">
      <c r="A142">
        <v>908</v>
      </c>
      <c r="B142" s="1">
        <v>38732</v>
      </c>
      <c r="C142" s="1">
        <v>45501</v>
      </c>
    </row>
    <row r="143" spans="1:3" x14ac:dyDescent="0.25">
      <c r="A143">
        <v>955</v>
      </c>
      <c r="B143" s="1">
        <v>28397</v>
      </c>
      <c r="C143" s="1">
        <v>33803</v>
      </c>
    </row>
    <row r="144" spans="1:3" x14ac:dyDescent="0.25">
      <c r="A144">
        <v>106</v>
      </c>
      <c r="B144" s="1">
        <v>38948</v>
      </c>
      <c r="C144" s="1">
        <v>41281</v>
      </c>
    </row>
    <row r="145" spans="1:3" x14ac:dyDescent="0.25">
      <c r="A145">
        <v>410</v>
      </c>
      <c r="B145" s="1">
        <v>41343</v>
      </c>
      <c r="C145" s="1">
        <v>48407</v>
      </c>
    </row>
    <row r="146" spans="1:3" x14ac:dyDescent="0.25">
      <c r="A146">
        <v>311</v>
      </c>
      <c r="B146" s="1">
        <v>38436</v>
      </c>
      <c r="C146" s="1">
        <v>43732</v>
      </c>
    </row>
    <row r="147" spans="1:3" x14ac:dyDescent="0.25">
      <c r="A147">
        <v>830</v>
      </c>
      <c r="B147" s="1">
        <v>40353</v>
      </c>
      <c r="C147" s="1">
        <v>46345</v>
      </c>
    </row>
    <row r="148" spans="1:3" x14ac:dyDescent="0.25">
      <c r="A148">
        <v>805</v>
      </c>
      <c r="B148" s="1">
        <v>30618</v>
      </c>
      <c r="C148" s="1">
        <v>32019</v>
      </c>
    </row>
    <row r="149" spans="1:3" x14ac:dyDescent="0.25">
      <c r="A149">
        <v>351</v>
      </c>
      <c r="B149" s="1">
        <v>41589</v>
      </c>
      <c r="C149" s="1">
        <v>46347</v>
      </c>
    </row>
    <row r="150" spans="1:3" x14ac:dyDescent="0.25">
      <c r="A150">
        <v>529</v>
      </c>
      <c r="B150" s="1">
        <v>27557</v>
      </c>
      <c r="C150" s="1">
        <v>30326</v>
      </c>
    </row>
    <row r="151" spans="1:3" x14ac:dyDescent="0.25">
      <c r="A151">
        <v>52</v>
      </c>
      <c r="B151" s="1">
        <v>37574</v>
      </c>
      <c r="C151" s="1">
        <v>44918</v>
      </c>
    </row>
    <row r="152" spans="1:3" x14ac:dyDescent="0.25">
      <c r="A152">
        <v>30</v>
      </c>
      <c r="B152" s="1">
        <v>42701</v>
      </c>
      <c r="C152" s="1">
        <v>47289</v>
      </c>
    </row>
    <row r="153" spans="1:3" x14ac:dyDescent="0.25">
      <c r="A153">
        <v>421</v>
      </c>
      <c r="B153" s="1">
        <v>37431</v>
      </c>
      <c r="C153" s="1">
        <v>41643</v>
      </c>
    </row>
    <row r="154" spans="1:3" x14ac:dyDescent="0.25">
      <c r="A154">
        <v>696</v>
      </c>
      <c r="B154" s="1">
        <v>35026</v>
      </c>
      <c r="C154" s="1">
        <v>36681</v>
      </c>
    </row>
    <row r="155" spans="1:3" x14ac:dyDescent="0.25">
      <c r="A155">
        <v>788</v>
      </c>
      <c r="B155" s="1">
        <v>40677</v>
      </c>
      <c r="C155" s="1">
        <v>41528</v>
      </c>
    </row>
    <row r="156" spans="1:3" x14ac:dyDescent="0.25">
      <c r="A156">
        <v>590</v>
      </c>
      <c r="B156" s="1">
        <v>37462</v>
      </c>
      <c r="C156" s="1">
        <v>40524</v>
      </c>
    </row>
    <row r="157" spans="1:3" x14ac:dyDescent="0.25">
      <c r="A157">
        <v>417</v>
      </c>
      <c r="B157" s="1">
        <v>40081</v>
      </c>
      <c r="C157" s="1">
        <v>45001</v>
      </c>
    </row>
    <row r="158" spans="1:3" x14ac:dyDescent="0.25">
      <c r="A158">
        <v>635</v>
      </c>
      <c r="B158" s="1">
        <v>29348</v>
      </c>
      <c r="C158" s="1">
        <v>32068</v>
      </c>
    </row>
    <row r="159" spans="1:3" x14ac:dyDescent="0.25">
      <c r="A159">
        <v>549</v>
      </c>
      <c r="B159" s="1">
        <v>26598</v>
      </c>
      <c r="C159" s="1">
        <v>32864</v>
      </c>
    </row>
    <row r="160" spans="1:3" x14ac:dyDescent="0.25">
      <c r="A160">
        <v>877</v>
      </c>
      <c r="B160" s="1">
        <v>38732</v>
      </c>
      <c r="C160" s="1">
        <v>43959</v>
      </c>
    </row>
    <row r="161" spans="1:3" x14ac:dyDescent="0.25">
      <c r="A161">
        <v>690</v>
      </c>
      <c r="B161" s="1">
        <v>40486</v>
      </c>
      <c r="C161" s="1">
        <v>42090</v>
      </c>
    </row>
    <row r="162" spans="1:3" x14ac:dyDescent="0.25">
      <c r="A162">
        <v>164</v>
      </c>
      <c r="B162" s="1">
        <v>35569</v>
      </c>
      <c r="C162" s="1">
        <v>39460</v>
      </c>
    </row>
    <row r="163" spans="1:3" x14ac:dyDescent="0.25">
      <c r="A163">
        <v>279</v>
      </c>
      <c r="B163" s="1">
        <v>29908</v>
      </c>
      <c r="C163" s="1">
        <v>32618</v>
      </c>
    </row>
    <row r="164" spans="1:3" x14ac:dyDescent="0.25">
      <c r="A164">
        <v>574</v>
      </c>
      <c r="B164" s="1">
        <v>38631</v>
      </c>
      <c r="C164" s="1">
        <v>44297</v>
      </c>
    </row>
    <row r="165" spans="1:3" x14ac:dyDescent="0.25">
      <c r="A165">
        <v>222</v>
      </c>
      <c r="B165" s="1">
        <v>26370</v>
      </c>
      <c r="C165" s="1">
        <v>32839</v>
      </c>
    </row>
    <row r="166" spans="1:3" x14ac:dyDescent="0.25">
      <c r="A166">
        <v>640</v>
      </c>
      <c r="B166" s="1">
        <v>42654</v>
      </c>
      <c r="C166" s="1">
        <v>46610</v>
      </c>
    </row>
    <row r="167" spans="1:3" x14ac:dyDescent="0.25">
      <c r="A167">
        <v>896</v>
      </c>
      <c r="B167" s="1">
        <v>42675</v>
      </c>
      <c r="C167" s="1">
        <v>44395</v>
      </c>
    </row>
    <row r="168" spans="1:3" x14ac:dyDescent="0.25">
      <c r="A168">
        <v>318</v>
      </c>
      <c r="B168" s="1">
        <v>27180</v>
      </c>
      <c r="C168" s="1">
        <v>31970</v>
      </c>
    </row>
    <row r="169" spans="1:3" x14ac:dyDescent="0.25">
      <c r="A169">
        <v>953</v>
      </c>
      <c r="B169" s="1">
        <v>36589</v>
      </c>
      <c r="C169" s="1">
        <v>42397</v>
      </c>
    </row>
    <row r="170" spans="1:3" x14ac:dyDescent="0.25">
      <c r="A170">
        <v>681</v>
      </c>
      <c r="B170" s="1">
        <v>39826</v>
      </c>
      <c r="C170" s="1">
        <v>43852</v>
      </c>
    </row>
    <row r="171" spans="1:3" x14ac:dyDescent="0.25">
      <c r="A171">
        <v>972</v>
      </c>
      <c r="B171" s="1">
        <v>39964</v>
      </c>
      <c r="C171" s="1">
        <v>45194</v>
      </c>
    </row>
    <row r="172" spans="1:3" x14ac:dyDescent="0.25">
      <c r="A172">
        <v>407</v>
      </c>
      <c r="B172" s="1">
        <v>32729</v>
      </c>
      <c r="C172" s="1">
        <v>39308</v>
      </c>
    </row>
    <row r="173" spans="1:3" x14ac:dyDescent="0.25">
      <c r="A173">
        <v>226</v>
      </c>
      <c r="B173" s="1">
        <v>31375</v>
      </c>
      <c r="C173" s="1">
        <v>34598</v>
      </c>
    </row>
    <row r="174" spans="1:3" x14ac:dyDescent="0.25">
      <c r="A174">
        <v>762</v>
      </c>
      <c r="B174" s="1">
        <v>43729</v>
      </c>
      <c r="C174" s="1">
        <v>45888</v>
      </c>
    </row>
    <row r="175" spans="1:3" x14ac:dyDescent="0.25">
      <c r="A175">
        <v>872</v>
      </c>
      <c r="B175" s="1">
        <v>36589</v>
      </c>
      <c r="C175" s="1">
        <v>41980</v>
      </c>
    </row>
    <row r="176" spans="1:3" x14ac:dyDescent="0.25">
      <c r="A176">
        <v>473</v>
      </c>
      <c r="B176" s="1">
        <v>27879</v>
      </c>
      <c r="C176" s="1">
        <v>34520</v>
      </c>
    </row>
    <row r="177" spans="1:3" x14ac:dyDescent="0.25">
      <c r="A177">
        <v>248</v>
      </c>
      <c r="B177" s="1">
        <v>40345</v>
      </c>
      <c r="C177" s="1">
        <v>43963</v>
      </c>
    </row>
    <row r="178" spans="1:3" x14ac:dyDescent="0.25">
      <c r="A178">
        <v>416</v>
      </c>
      <c r="B178" s="1">
        <v>40802</v>
      </c>
      <c r="C178" s="1">
        <v>46010</v>
      </c>
    </row>
    <row r="179" spans="1:3" x14ac:dyDescent="0.25">
      <c r="A179">
        <v>425</v>
      </c>
      <c r="B179" s="1">
        <v>42890</v>
      </c>
      <c r="C179" s="1">
        <v>43808</v>
      </c>
    </row>
    <row r="180" spans="1:3" x14ac:dyDescent="0.25">
      <c r="A180">
        <v>435</v>
      </c>
      <c r="B180" s="1">
        <v>34857</v>
      </c>
      <c r="C180" s="1">
        <v>39999</v>
      </c>
    </row>
    <row r="181" spans="1:3" x14ac:dyDescent="0.25">
      <c r="A181">
        <v>370</v>
      </c>
      <c r="B181" s="1">
        <v>35960</v>
      </c>
      <c r="C181" s="1">
        <v>42486</v>
      </c>
    </row>
    <row r="182" spans="1:3" x14ac:dyDescent="0.25">
      <c r="A182">
        <v>406</v>
      </c>
      <c r="B182" s="1">
        <v>32359</v>
      </c>
      <c r="C182" s="1">
        <v>39222</v>
      </c>
    </row>
    <row r="183" spans="1:3" x14ac:dyDescent="0.25">
      <c r="A183">
        <v>976</v>
      </c>
      <c r="B183" s="1">
        <v>41343</v>
      </c>
      <c r="C183" s="1">
        <v>41645</v>
      </c>
    </row>
    <row r="184" spans="1:3" x14ac:dyDescent="0.25">
      <c r="A184">
        <v>349</v>
      </c>
      <c r="B184" s="1">
        <v>41049</v>
      </c>
      <c r="C184" s="1">
        <v>43066</v>
      </c>
    </row>
    <row r="185" spans="1:3" x14ac:dyDescent="0.25">
      <c r="A185">
        <v>595</v>
      </c>
      <c r="B185" s="1">
        <v>30820</v>
      </c>
      <c r="C185" s="1">
        <v>36600</v>
      </c>
    </row>
    <row r="186" spans="1:3" x14ac:dyDescent="0.25">
      <c r="A186">
        <v>366</v>
      </c>
      <c r="B186" s="1">
        <v>26107</v>
      </c>
      <c r="C186" s="1">
        <v>27549</v>
      </c>
    </row>
    <row r="187" spans="1:3" x14ac:dyDescent="0.25">
      <c r="A187">
        <v>39</v>
      </c>
      <c r="B187" s="1">
        <v>34893</v>
      </c>
      <c r="C187" s="1">
        <v>40036</v>
      </c>
    </row>
    <row r="188" spans="1:3" x14ac:dyDescent="0.25">
      <c r="A188">
        <v>978</v>
      </c>
      <c r="B188" s="1">
        <v>29419</v>
      </c>
      <c r="C188" s="1">
        <v>30070</v>
      </c>
    </row>
    <row r="189" spans="1:3" x14ac:dyDescent="0.25">
      <c r="A189">
        <v>623</v>
      </c>
      <c r="B189" s="1">
        <v>28109</v>
      </c>
      <c r="C189" s="1">
        <v>31210</v>
      </c>
    </row>
    <row r="190" spans="1:3" x14ac:dyDescent="0.25">
      <c r="A190">
        <v>751</v>
      </c>
      <c r="B190" s="1">
        <v>40353</v>
      </c>
      <c r="C190" s="1">
        <v>42443</v>
      </c>
    </row>
    <row r="191" spans="1:3" x14ac:dyDescent="0.25">
      <c r="A191">
        <v>899</v>
      </c>
      <c r="B191" s="1">
        <v>26367</v>
      </c>
      <c r="C191" s="1">
        <v>30146</v>
      </c>
    </row>
    <row r="192" spans="1:3" x14ac:dyDescent="0.25">
      <c r="A192">
        <v>396</v>
      </c>
      <c r="B192" s="1">
        <v>30071</v>
      </c>
      <c r="C192" s="1">
        <v>35395</v>
      </c>
    </row>
    <row r="193" spans="1:3" x14ac:dyDescent="0.25">
      <c r="A193">
        <v>792</v>
      </c>
      <c r="B193" s="1">
        <v>37044</v>
      </c>
      <c r="C193" s="1">
        <v>41647</v>
      </c>
    </row>
    <row r="194" spans="1:3" x14ac:dyDescent="0.25">
      <c r="A194">
        <v>808</v>
      </c>
      <c r="B194" s="1">
        <v>41746</v>
      </c>
      <c r="C194" s="1">
        <v>48917</v>
      </c>
    </row>
    <row r="195" spans="1:3" x14ac:dyDescent="0.25">
      <c r="A195">
        <v>903</v>
      </c>
      <c r="B195" s="1">
        <v>41603</v>
      </c>
      <c r="C195" s="1">
        <v>42856</v>
      </c>
    </row>
    <row r="196" spans="1:3" x14ac:dyDescent="0.25">
      <c r="A196">
        <v>335</v>
      </c>
      <c r="B196" s="1">
        <v>30974</v>
      </c>
      <c r="C196" s="1">
        <v>35261</v>
      </c>
    </row>
    <row r="197" spans="1:3" x14ac:dyDescent="0.25">
      <c r="A197">
        <v>784</v>
      </c>
      <c r="B197" s="1">
        <v>34491</v>
      </c>
      <c r="C197" s="1">
        <v>39592</v>
      </c>
    </row>
    <row r="198" spans="1:3" x14ac:dyDescent="0.25">
      <c r="A198">
        <v>683</v>
      </c>
      <c r="B198" s="1">
        <v>40408</v>
      </c>
      <c r="C198" s="1">
        <v>46382</v>
      </c>
    </row>
    <row r="199" spans="1:3" x14ac:dyDescent="0.25">
      <c r="A199">
        <v>536</v>
      </c>
      <c r="B199" s="1">
        <v>40030</v>
      </c>
      <c r="C199" s="1">
        <v>41940</v>
      </c>
    </row>
    <row r="200" spans="1:3" x14ac:dyDescent="0.25">
      <c r="A200">
        <v>142</v>
      </c>
      <c r="B200" s="1">
        <v>42858</v>
      </c>
      <c r="C200" s="1">
        <v>44812</v>
      </c>
    </row>
    <row r="201" spans="1:3" x14ac:dyDescent="0.25">
      <c r="A201">
        <v>617</v>
      </c>
      <c r="B201" s="1">
        <v>33099</v>
      </c>
      <c r="C201" s="1">
        <v>34310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27D05-9A14-4640-9CA2-2811B1173EC0}">
  <dimension ref="A3:B9"/>
  <sheetViews>
    <sheetView workbookViewId="0">
      <selection activeCell="A3" sqref="A3"/>
    </sheetView>
  </sheetViews>
  <sheetFormatPr defaultRowHeight="15" x14ac:dyDescent="0.25"/>
  <cols>
    <col min="1" max="1" width="13.42578125" bestFit="1" customWidth="1"/>
    <col min="2" max="2" width="24.42578125" bestFit="1" customWidth="1"/>
  </cols>
  <sheetData>
    <row r="3" spans="1:2" x14ac:dyDescent="0.25">
      <c r="A3" s="2" t="s">
        <v>1533</v>
      </c>
      <c r="B3" t="s">
        <v>1540</v>
      </c>
    </row>
    <row r="4" spans="1:2" x14ac:dyDescent="0.25">
      <c r="A4" s="3">
        <v>2</v>
      </c>
      <c r="B4">
        <v>1</v>
      </c>
    </row>
    <row r="5" spans="1:2" x14ac:dyDescent="0.25">
      <c r="A5" s="3">
        <v>7</v>
      </c>
      <c r="B5">
        <v>1</v>
      </c>
    </row>
    <row r="6" spans="1:2" x14ac:dyDescent="0.25">
      <c r="A6" s="3">
        <v>11</v>
      </c>
      <c r="B6">
        <v>1</v>
      </c>
    </row>
    <row r="7" spans="1:2" x14ac:dyDescent="0.25">
      <c r="A7" s="3">
        <v>18</v>
      </c>
      <c r="B7">
        <v>1</v>
      </c>
    </row>
    <row r="8" spans="1:2" x14ac:dyDescent="0.25">
      <c r="A8" s="3">
        <v>23</v>
      </c>
      <c r="B8">
        <v>1</v>
      </c>
    </row>
    <row r="9" spans="1:2" x14ac:dyDescent="0.25">
      <c r="A9" s="3" t="s">
        <v>1534</v>
      </c>
      <c r="B9">
        <v>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D7248-C4E8-4EAB-9F07-9E5D279A385B}">
  <dimension ref="A3:B204"/>
  <sheetViews>
    <sheetView workbookViewId="0">
      <selection activeCell="D16" sqref="D16"/>
    </sheetView>
  </sheetViews>
  <sheetFormatPr defaultRowHeight="15" x14ac:dyDescent="0.25"/>
  <cols>
    <col min="1" max="1" width="13.42578125" bestFit="1" customWidth="1"/>
    <col min="2" max="2" width="24.42578125" bestFit="1" customWidth="1"/>
    <col min="3" max="3" width="22.85546875" bestFit="1" customWidth="1"/>
  </cols>
  <sheetData>
    <row r="3" spans="1:2" x14ac:dyDescent="0.25">
      <c r="A3" s="2" t="s">
        <v>1533</v>
      </c>
      <c r="B3" t="s">
        <v>1540</v>
      </c>
    </row>
    <row r="4" spans="1:2" x14ac:dyDescent="0.25">
      <c r="A4" s="3">
        <v>2</v>
      </c>
      <c r="B4">
        <v>1</v>
      </c>
    </row>
    <row r="5" spans="1:2" x14ac:dyDescent="0.25">
      <c r="A5" s="3">
        <v>7</v>
      </c>
      <c r="B5">
        <v>1</v>
      </c>
    </row>
    <row r="6" spans="1:2" x14ac:dyDescent="0.25">
      <c r="A6" s="3">
        <v>11</v>
      </c>
      <c r="B6">
        <v>1</v>
      </c>
    </row>
    <row r="7" spans="1:2" x14ac:dyDescent="0.25">
      <c r="A7" s="3">
        <v>18</v>
      </c>
      <c r="B7">
        <v>1</v>
      </c>
    </row>
    <row r="8" spans="1:2" x14ac:dyDescent="0.25">
      <c r="A8" s="3">
        <v>23</v>
      </c>
      <c r="B8">
        <v>1</v>
      </c>
    </row>
    <row r="9" spans="1:2" x14ac:dyDescent="0.25">
      <c r="A9" s="3">
        <v>26</v>
      </c>
      <c r="B9">
        <v>1</v>
      </c>
    </row>
    <row r="10" spans="1:2" x14ac:dyDescent="0.25">
      <c r="A10" s="3">
        <v>31</v>
      </c>
      <c r="B10">
        <v>1</v>
      </c>
    </row>
    <row r="11" spans="1:2" x14ac:dyDescent="0.25">
      <c r="A11" s="3">
        <v>33</v>
      </c>
      <c r="B11">
        <v>1</v>
      </c>
    </row>
    <row r="12" spans="1:2" x14ac:dyDescent="0.25">
      <c r="A12" s="3">
        <v>47</v>
      </c>
      <c r="B12">
        <v>1</v>
      </c>
    </row>
    <row r="13" spans="1:2" x14ac:dyDescent="0.25">
      <c r="A13" s="3">
        <v>48</v>
      </c>
      <c r="B13">
        <v>1</v>
      </c>
    </row>
    <row r="14" spans="1:2" x14ac:dyDescent="0.25">
      <c r="A14" s="3">
        <v>49</v>
      </c>
      <c r="B14">
        <v>1</v>
      </c>
    </row>
    <row r="15" spans="1:2" x14ac:dyDescent="0.25">
      <c r="A15" s="3">
        <v>54</v>
      </c>
      <c r="B15">
        <v>1</v>
      </c>
    </row>
    <row r="16" spans="1:2" x14ac:dyDescent="0.25">
      <c r="A16" s="3">
        <v>69</v>
      </c>
      <c r="B16">
        <v>1</v>
      </c>
    </row>
    <row r="17" spans="1:2" x14ac:dyDescent="0.25">
      <c r="A17" s="3">
        <v>82</v>
      </c>
      <c r="B17">
        <v>1</v>
      </c>
    </row>
    <row r="18" spans="1:2" x14ac:dyDescent="0.25">
      <c r="A18" s="3">
        <v>87</v>
      </c>
      <c r="B18">
        <v>1</v>
      </c>
    </row>
    <row r="19" spans="1:2" x14ac:dyDescent="0.25">
      <c r="A19" s="3">
        <v>88</v>
      </c>
      <c r="B19">
        <v>1</v>
      </c>
    </row>
    <row r="20" spans="1:2" x14ac:dyDescent="0.25">
      <c r="A20" s="3">
        <v>90</v>
      </c>
      <c r="B20">
        <v>1</v>
      </c>
    </row>
    <row r="21" spans="1:2" x14ac:dyDescent="0.25">
      <c r="A21" s="3">
        <v>92</v>
      </c>
      <c r="B21">
        <v>1</v>
      </c>
    </row>
    <row r="22" spans="1:2" x14ac:dyDescent="0.25">
      <c r="A22" s="3">
        <v>95</v>
      </c>
      <c r="B22">
        <v>1</v>
      </c>
    </row>
    <row r="23" spans="1:2" x14ac:dyDescent="0.25">
      <c r="A23" s="3">
        <v>100</v>
      </c>
      <c r="B23">
        <v>1</v>
      </c>
    </row>
    <row r="24" spans="1:2" x14ac:dyDescent="0.25">
      <c r="A24" s="3">
        <v>102</v>
      </c>
      <c r="B24">
        <v>1</v>
      </c>
    </row>
    <row r="25" spans="1:2" x14ac:dyDescent="0.25">
      <c r="A25" s="3">
        <v>112</v>
      </c>
      <c r="B25">
        <v>1</v>
      </c>
    </row>
    <row r="26" spans="1:2" x14ac:dyDescent="0.25">
      <c r="A26" s="3">
        <v>113</v>
      </c>
      <c r="B26">
        <v>1</v>
      </c>
    </row>
    <row r="27" spans="1:2" x14ac:dyDescent="0.25">
      <c r="A27" s="3">
        <v>114</v>
      </c>
      <c r="B27">
        <v>1</v>
      </c>
    </row>
    <row r="28" spans="1:2" x14ac:dyDescent="0.25">
      <c r="A28" s="3">
        <v>120</v>
      </c>
      <c r="B28">
        <v>1</v>
      </c>
    </row>
    <row r="29" spans="1:2" x14ac:dyDescent="0.25">
      <c r="A29" s="3">
        <v>123</v>
      </c>
      <c r="B29">
        <v>1</v>
      </c>
    </row>
    <row r="30" spans="1:2" x14ac:dyDescent="0.25">
      <c r="A30" s="3">
        <v>127</v>
      </c>
      <c r="B30">
        <v>1</v>
      </c>
    </row>
    <row r="31" spans="1:2" x14ac:dyDescent="0.25">
      <c r="A31" s="3">
        <v>132</v>
      </c>
      <c r="B31">
        <v>1</v>
      </c>
    </row>
    <row r="32" spans="1:2" x14ac:dyDescent="0.25">
      <c r="A32" s="3">
        <v>143</v>
      </c>
      <c r="B32">
        <v>1</v>
      </c>
    </row>
    <row r="33" spans="1:2" x14ac:dyDescent="0.25">
      <c r="A33" s="3">
        <v>147</v>
      </c>
      <c r="B33">
        <v>1</v>
      </c>
    </row>
    <row r="34" spans="1:2" x14ac:dyDescent="0.25">
      <c r="A34" s="3">
        <v>148</v>
      </c>
      <c r="B34">
        <v>1</v>
      </c>
    </row>
    <row r="35" spans="1:2" x14ac:dyDescent="0.25">
      <c r="A35" s="3">
        <v>152</v>
      </c>
      <c r="B35">
        <v>1</v>
      </c>
    </row>
    <row r="36" spans="1:2" x14ac:dyDescent="0.25">
      <c r="A36" s="3">
        <v>163</v>
      </c>
      <c r="B36">
        <v>1</v>
      </c>
    </row>
    <row r="37" spans="1:2" x14ac:dyDescent="0.25">
      <c r="A37" s="3">
        <v>169</v>
      </c>
      <c r="B37">
        <v>1</v>
      </c>
    </row>
    <row r="38" spans="1:2" x14ac:dyDescent="0.25">
      <c r="A38" s="3">
        <v>172</v>
      </c>
      <c r="B38">
        <v>1</v>
      </c>
    </row>
    <row r="39" spans="1:2" x14ac:dyDescent="0.25">
      <c r="A39" s="3">
        <v>175</v>
      </c>
      <c r="B39">
        <v>1</v>
      </c>
    </row>
    <row r="40" spans="1:2" x14ac:dyDescent="0.25">
      <c r="A40" s="3">
        <v>179</v>
      </c>
      <c r="B40">
        <v>1</v>
      </c>
    </row>
    <row r="41" spans="1:2" x14ac:dyDescent="0.25">
      <c r="A41" s="3">
        <v>180</v>
      </c>
      <c r="B41">
        <v>1</v>
      </c>
    </row>
    <row r="42" spans="1:2" x14ac:dyDescent="0.25">
      <c r="A42" s="3">
        <v>189</v>
      </c>
      <c r="B42">
        <v>1</v>
      </c>
    </row>
    <row r="43" spans="1:2" x14ac:dyDescent="0.25">
      <c r="A43" s="3">
        <v>193</v>
      </c>
      <c r="B43">
        <v>1</v>
      </c>
    </row>
    <row r="44" spans="1:2" x14ac:dyDescent="0.25">
      <c r="A44" s="3">
        <v>199</v>
      </c>
      <c r="B44">
        <v>1</v>
      </c>
    </row>
    <row r="45" spans="1:2" x14ac:dyDescent="0.25">
      <c r="A45" s="3">
        <v>204</v>
      </c>
      <c r="B45">
        <v>1</v>
      </c>
    </row>
    <row r="46" spans="1:2" x14ac:dyDescent="0.25">
      <c r="A46" s="3">
        <v>234</v>
      </c>
      <c r="B46">
        <v>1</v>
      </c>
    </row>
    <row r="47" spans="1:2" x14ac:dyDescent="0.25">
      <c r="A47" s="3">
        <v>236</v>
      </c>
      <c r="B47">
        <v>1</v>
      </c>
    </row>
    <row r="48" spans="1:2" x14ac:dyDescent="0.25">
      <c r="A48" s="3">
        <v>238</v>
      </c>
      <c r="B48">
        <v>1</v>
      </c>
    </row>
    <row r="49" spans="1:2" x14ac:dyDescent="0.25">
      <c r="A49" s="3">
        <v>244</v>
      </c>
      <c r="B49">
        <v>1</v>
      </c>
    </row>
    <row r="50" spans="1:2" x14ac:dyDescent="0.25">
      <c r="A50" s="3">
        <v>249</v>
      </c>
      <c r="B50">
        <v>1</v>
      </c>
    </row>
    <row r="51" spans="1:2" x14ac:dyDescent="0.25">
      <c r="A51" s="3">
        <v>256</v>
      </c>
      <c r="B51">
        <v>1</v>
      </c>
    </row>
    <row r="52" spans="1:2" x14ac:dyDescent="0.25">
      <c r="A52" s="3">
        <v>273</v>
      </c>
      <c r="B52">
        <v>1</v>
      </c>
    </row>
    <row r="53" spans="1:2" x14ac:dyDescent="0.25">
      <c r="A53" s="3">
        <v>287</v>
      </c>
      <c r="B53">
        <v>1</v>
      </c>
    </row>
    <row r="54" spans="1:2" x14ac:dyDescent="0.25">
      <c r="A54" s="3">
        <v>288</v>
      </c>
      <c r="B54">
        <v>1</v>
      </c>
    </row>
    <row r="55" spans="1:2" x14ac:dyDescent="0.25">
      <c r="A55" s="3">
        <v>289</v>
      </c>
      <c r="B55">
        <v>1</v>
      </c>
    </row>
    <row r="56" spans="1:2" x14ac:dyDescent="0.25">
      <c r="A56" s="3">
        <v>292</v>
      </c>
      <c r="B56">
        <v>1</v>
      </c>
    </row>
    <row r="57" spans="1:2" x14ac:dyDescent="0.25">
      <c r="A57" s="3">
        <v>294</v>
      </c>
      <c r="B57">
        <v>1</v>
      </c>
    </row>
    <row r="58" spans="1:2" x14ac:dyDescent="0.25">
      <c r="A58" s="3">
        <v>295</v>
      </c>
      <c r="B58">
        <v>1</v>
      </c>
    </row>
    <row r="59" spans="1:2" x14ac:dyDescent="0.25">
      <c r="A59" s="3">
        <v>302</v>
      </c>
      <c r="B59">
        <v>1</v>
      </c>
    </row>
    <row r="60" spans="1:2" x14ac:dyDescent="0.25">
      <c r="A60" s="3">
        <v>305</v>
      </c>
      <c r="B60">
        <v>1</v>
      </c>
    </row>
    <row r="61" spans="1:2" x14ac:dyDescent="0.25">
      <c r="A61" s="3">
        <v>310</v>
      </c>
      <c r="B61">
        <v>1</v>
      </c>
    </row>
    <row r="62" spans="1:2" x14ac:dyDescent="0.25">
      <c r="A62" s="3">
        <v>311</v>
      </c>
      <c r="B62">
        <v>1</v>
      </c>
    </row>
    <row r="63" spans="1:2" x14ac:dyDescent="0.25">
      <c r="A63" s="3">
        <v>315</v>
      </c>
      <c r="B63">
        <v>1</v>
      </c>
    </row>
    <row r="64" spans="1:2" x14ac:dyDescent="0.25">
      <c r="A64" s="3">
        <v>326</v>
      </c>
      <c r="B64">
        <v>1</v>
      </c>
    </row>
    <row r="65" spans="1:2" x14ac:dyDescent="0.25">
      <c r="A65" s="3">
        <v>329</v>
      </c>
      <c r="B65">
        <v>1</v>
      </c>
    </row>
    <row r="66" spans="1:2" x14ac:dyDescent="0.25">
      <c r="A66" s="3">
        <v>332</v>
      </c>
      <c r="B66">
        <v>1</v>
      </c>
    </row>
    <row r="67" spans="1:2" x14ac:dyDescent="0.25">
      <c r="A67" s="3">
        <v>340</v>
      </c>
      <c r="B67">
        <v>1</v>
      </c>
    </row>
    <row r="68" spans="1:2" x14ac:dyDescent="0.25">
      <c r="A68" s="3">
        <v>344</v>
      </c>
      <c r="B68">
        <v>1</v>
      </c>
    </row>
    <row r="69" spans="1:2" x14ac:dyDescent="0.25">
      <c r="A69" s="3">
        <v>357</v>
      </c>
      <c r="B69">
        <v>1</v>
      </c>
    </row>
    <row r="70" spans="1:2" x14ac:dyDescent="0.25">
      <c r="A70" s="3">
        <v>361</v>
      </c>
      <c r="B70">
        <v>1</v>
      </c>
    </row>
    <row r="71" spans="1:2" x14ac:dyDescent="0.25">
      <c r="A71" s="3">
        <v>362</v>
      </c>
      <c r="B71">
        <v>1</v>
      </c>
    </row>
    <row r="72" spans="1:2" x14ac:dyDescent="0.25">
      <c r="A72" s="3">
        <v>365</v>
      </c>
      <c r="B72">
        <v>1</v>
      </c>
    </row>
    <row r="73" spans="1:2" x14ac:dyDescent="0.25">
      <c r="A73" s="3">
        <v>368</v>
      </c>
      <c r="B73">
        <v>1</v>
      </c>
    </row>
    <row r="74" spans="1:2" x14ac:dyDescent="0.25">
      <c r="A74" s="3">
        <v>372</v>
      </c>
      <c r="B74">
        <v>1</v>
      </c>
    </row>
    <row r="75" spans="1:2" x14ac:dyDescent="0.25">
      <c r="A75" s="3">
        <v>393</v>
      </c>
      <c r="B75">
        <v>1</v>
      </c>
    </row>
    <row r="76" spans="1:2" x14ac:dyDescent="0.25">
      <c r="A76" s="3">
        <v>395</v>
      </c>
      <c r="B76">
        <v>1</v>
      </c>
    </row>
    <row r="77" spans="1:2" x14ac:dyDescent="0.25">
      <c r="A77" s="3">
        <v>396</v>
      </c>
      <c r="B77">
        <v>1</v>
      </c>
    </row>
    <row r="78" spans="1:2" x14ac:dyDescent="0.25">
      <c r="A78" s="3">
        <v>398</v>
      </c>
      <c r="B78">
        <v>1</v>
      </c>
    </row>
    <row r="79" spans="1:2" x14ac:dyDescent="0.25">
      <c r="A79" s="3">
        <v>400</v>
      </c>
      <c r="B79">
        <v>1</v>
      </c>
    </row>
    <row r="80" spans="1:2" x14ac:dyDescent="0.25">
      <c r="A80" s="3">
        <v>401</v>
      </c>
      <c r="B80">
        <v>1</v>
      </c>
    </row>
    <row r="81" spans="1:2" x14ac:dyDescent="0.25">
      <c r="A81" s="3">
        <v>405</v>
      </c>
      <c r="B81">
        <v>1</v>
      </c>
    </row>
    <row r="82" spans="1:2" x14ac:dyDescent="0.25">
      <c r="A82" s="3">
        <v>406</v>
      </c>
      <c r="B82">
        <v>1</v>
      </c>
    </row>
    <row r="83" spans="1:2" x14ac:dyDescent="0.25">
      <c r="A83" s="3">
        <v>407</v>
      </c>
      <c r="B83">
        <v>1</v>
      </c>
    </row>
    <row r="84" spans="1:2" x14ac:dyDescent="0.25">
      <c r="A84" s="3">
        <v>412</v>
      </c>
      <c r="B84">
        <v>1</v>
      </c>
    </row>
    <row r="85" spans="1:2" x14ac:dyDescent="0.25">
      <c r="A85" s="3">
        <v>427</v>
      </c>
      <c r="B85">
        <v>1</v>
      </c>
    </row>
    <row r="86" spans="1:2" x14ac:dyDescent="0.25">
      <c r="A86" s="3">
        <v>429</v>
      </c>
      <c r="B86">
        <v>1</v>
      </c>
    </row>
    <row r="87" spans="1:2" x14ac:dyDescent="0.25">
      <c r="A87" s="3">
        <v>431</v>
      </c>
      <c r="B87">
        <v>1</v>
      </c>
    </row>
    <row r="88" spans="1:2" x14ac:dyDescent="0.25">
      <c r="A88" s="3">
        <v>432</v>
      </c>
      <c r="B88">
        <v>1</v>
      </c>
    </row>
    <row r="89" spans="1:2" x14ac:dyDescent="0.25">
      <c r="A89" s="3">
        <v>433</v>
      </c>
      <c r="B89">
        <v>1</v>
      </c>
    </row>
    <row r="90" spans="1:2" x14ac:dyDescent="0.25">
      <c r="A90" s="3">
        <v>435</v>
      </c>
      <c r="B90">
        <v>1</v>
      </c>
    </row>
    <row r="91" spans="1:2" x14ac:dyDescent="0.25">
      <c r="A91" s="3">
        <v>437</v>
      </c>
      <c r="B91">
        <v>1</v>
      </c>
    </row>
    <row r="92" spans="1:2" x14ac:dyDescent="0.25">
      <c r="A92" s="3">
        <v>443</v>
      </c>
      <c r="B92">
        <v>1</v>
      </c>
    </row>
    <row r="93" spans="1:2" x14ac:dyDescent="0.25">
      <c r="A93" s="3">
        <v>467</v>
      </c>
      <c r="B93">
        <v>1</v>
      </c>
    </row>
    <row r="94" spans="1:2" x14ac:dyDescent="0.25">
      <c r="A94" s="3">
        <v>468</v>
      </c>
      <c r="B94">
        <v>1</v>
      </c>
    </row>
    <row r="95" spans="1:2" x14ac:dyDescent="0.25">
      <c r="A95" s="3">
        <v>472</v>
      </c>
      <c r="B95">
        <v>1</v>
      </c>
    </row>
    <row r="96" spans="1:2" x14ac:dyDescent="0.25">
      <c r="A96" s="3">
        <v>473</v>
      </c>
      <c r="B96">
        <v>1</v>
      </c>
    </row>
    <row r="97" spans="1:2" x14ac:dyDescent="0.25">
      <c r="A97" s="3">
        <v>477</v>
      </c>
      <c r="B97">
        <v>1</v>
      </c>
    </row>
    <row r="98" spans="1:2" x14ac:dyDescent="0.25">
      <c r="A98" s="3">
        <v>486</v>
      </c>
      <c r="B98">
        <v>1</v>
      </c>
    </row>
    <row r="99" spans="1:2" x14ac:dyDescent="0.25">
      <c r="A99" s="3">
        <v>493</v>
      </c>
      <c r="B99">
        <v>1</v>
      </c>
    </row>
    <row r="100" spans="1:2" x14ac:dyDescent="0.25">
      <c r="A100" s="3">
        <v>497</v>
      </c>
      <c r="B100">
        <v>1</v>
      </c>
    </row>
    <row r="101" spans="1:2" x14ac:dyDescent="0.25">
      <c r="A101" s="3">
        <v>501</v>
      </c>
      <c r="B101">
        <v>1</v>
      </c>
    </row>
    <row r="102" spans="1:2" x14ac:dyDescent="0.25">
      <c r="A102" s="3">
        <v>503</v>
      </c>
      <c r="B102">
        <v>1</v>
      </c>
    </row>
    <row r="103" spans="1:2" x14ac:dyDescent="0.25">
      <c r="A103" s="3">
        <v>505</v>
      </c>
      <c r="B103">
        <v>1</v>
      </c>
    </row>
    <row r="104" spans="1:2" x14ac:dyDescent="0.25">
      <c r="A104" s="3">
        <v>508</v>
      </c>
      <c r="B104">
        <v>1</v>
      </c>
    </row>
    <row r="105" spans="1:2" x14ac:dyDescent="0.25">
      <c r="A105" s="3">
        <v>512</v>
      </c>
      <c r="B105">
        <v>1</v>
      </c>
    </row>
    <row r="106" spans="1:2" x14ac:dyDescent="0.25">
      <c r="A106" s="3">
        <v>513</v>
      </c>
      <c r="B106">
        <v>1</v>
      </c>
    </row>
    <row r="107" spans="1:2" x14ac:dyDescent="0.25">
      <c r="A107" s="3">
        <v>515</v>
      </c>
      <c r="B107">
        <v>1</v>
      </c>
    </row>
    <row r="108" spans="1:2" x14ac:dyDescent="0.25">
      <c r="A108" s="3">
        <v>521</v>
      </c>
      <c r="B108">
        <v>1</v>
      </c>
    </row>
    <row r="109" spans="1:2" x14ac:dyDescent="0.25">
      <c r="A109" s="3">
        <v>528</v>
      </c>
      <c r="B109">
        <v>1</v>
      </c>
    </row>
    <row r="110" spans="1:2" x14ac:dyDescent="0.25">
      <c r="A110" s="3">
        <v>535</v>
      </c>
      <c r="B110">
        <v>1</v>
      </c>
    </row>
    <row r="111" spans="1:2" x14ac:dyDescent="0.25">
      <c r="A111" s="3">
        <v>545</v>
      </c>
      <c r="B111">
        <v>1</v>
      </c>
    </row>
    <row r="112" spans="1:2" x14ac:dyDescent="0.25">
      <c r="A112" s="3">
        <v>582</v>
      </c>
      <c r="B112">
        <v>1</v>
      </c>
    </row>
    <row r="113" spans="1:2" x14ac:dyDescent="0.25">
      <c r="A113" s="3">
        <v>584</v>
      </c>
      <c r="B113">
        <v>1</v>
      </c>
    </row>
    <row r="114" spans="1:2" x14ac:dyDescent="0.25">
      <c r="A114" s="3">
        <v>600</v>
      </c>
      <c r="B114">
        <v>1</v>
      </c>
    </row>
    <row r="115" spans="1:2" x14ac:dyDescent="0.25">
      <c r="A115" s="3">
        <v>602</v>
      </c>
      <c r="B115">
        <v>1</v>
      </c>
    </row>
    <row r="116" spans="1:2" x14ac:dyDescent="0.25">
      <c r="A116" s="3">
        <v>605</v>
      </c>
      <c r="B116">
        <v>1</v>
      </c>
    </row>
    <row r="117" spans="1:2" x14ac:dyDescent="0.25">
      <c r="A117" s="3">
        <v>615</v>
      </c>
      <c r="B117">
        <v>1</v>
      </c>
    </row>
    <row r="118" spans="1:2" x14ac:dyDescent="0.25">
      <c r="A118" s="3">
        <v>617</v>
      </c>
      <c r="B118">
        <v>1</v>
      </c>
    </row>
    <row r="119" spans="1:2" x14ac:dyDescent="0.25">
      <c r="A119" s="3">
        <v>618</v>
      </c>
      <c r="B119">
        <v>1</v>
      </c>
    </row>
    <row r="120" spans="1:2" x14ac:dyDescent="0.25">
      <c r="A120" s="3">
        <v>619</v>
      </c>
      <c r="B120">
        <v>1</v>
      </c>
    </row>
    <row r="121" spans="1:2" x14ac:dyDescent="0.25">
      <c r="A121" s="3">
        <v>624</v>
      </c>
      <c r="B121">
        <v>1</v>
      </c>
    </row>
    <row r="122" spans="1:2" x14ac:dyDescent="0.25">
      <c r="A122" s="3">
        <v>634</v>
      </c>
      <c r="B122">
        <v>1</v>
      </c>
    </row>
    <row r="123" spans="1:2" x14ac:dyDescent="0.25">
      <c r="A123" s="3">
        <v>637</v>
      </c>
      <c r="B123">
        <v>1</v>
      </c>
    </row>
    <row r="124" spans="1:2" x14ac:dyDescent="0.25">
      <c r="A124" s="3">
        <v>640</v>
      </c>
      <c r="B124">
        <v>1</v>
      </c>
    </row>
    <row r="125" spans="1:2" x14ac:dyDescent="0.25">
      <c r="A125" s="3">
        <v>642</v>
      </c>
      <c r="B125">
        <v>1</v>
      </c>
    </row>
    <row r="126" spans="1:2" x14ac:dyDescent="0.25">
      <c r="A126" s="3">
        <v>649</v>
      </c>
      <c r="B126">
        <v>1</v>
      </c>
    </row>
    <row r="127" spans="1:2" x14ac:dyDescent="0.25">
      <c r="A127" s="3">
        <v>656</v>
      </c>
      <c r="B127">
        <v>1</v>
      </c>
    </row>
    <row r="128" spans="1:2" x14ac:dyDescent="0.25">
      <c r="A128" s="3">
        <v>658</v>
      </c>
      <c r="B128">
        <v>1</v>
      </c>
    </row>
    <row r="129" spans="1:2" x14ac:dyDescent="0.25">
      <c r="A129" s="3">
        <v>670</v>
      </c>
      <c r="B129">
        <v>1</v>
      </c>
    </row>
    <row r="130" spans="1:2" x14ac:dyDescent="0.25">
      <c r="A130" s="3">
        <v>676</v>
      </c>
      <c r="B130">
        <v>1</v>
      </c>
    </row>
    <row r="131" spans="1:2" x14ac:dyDescent="0.25">
      <c r="A131" s="3">
        <v>678</v>
      </c>
      <c r="B131">
        <v>1</v>
      </c>
    </row>
    <row r="132" spans="1:2" x14ac:dyDescent="0.25">
      <c r="A132" s="3">
        <v>679</v>
      </c>
      <c r="B132">
        <v>1</v>
      </c>
    </row>
    <row r="133" spans="1:2" x14ac:dyDescent="0.25">
      <c r="A133" s="3">
        <v>685</v>
      </c>
      <c r="B133">
        <v>1</v>
      </c>
    </row>
    <row r="134" spans="1:2" x14ac:dyDescent="0.25">
      <c r="A134" s="3">
        <v>691</v>
      </c>
      <c r="B134">
        <v>1</v>
      </c>
    </row>
    <row r="135" spans="1:2" x14ac:dyDescent="0.25">
      <c r="A135" s="3">
        <v>693</v>
      </c>
      <c r="B135">
        <v>1</v>
      </c>
    </row>
    <row r="136" spans="1:2" x14ac:dyDescent="0.25">
      <c r="A136" s="3">
        <v>698</v>
      </c>
      <c r="B136">
        <v>1</v>
      </c>
    </row>
    <row r="137" spans="1:2" x14ac:dyDescent="0.25">
      <c r="A137" s="3">
        <v>700</v>
      </c>
      <c r="B137">
        <v>1</v>
      </c>
    </row>
    <row r="138" spans="1:2" x14ac:dyDescent="0.25">
      <c r="A138" s="3">
        <v>704</v>
      </c>
      <c r="B138">
        <v>1</v>
      </c>
    </row>
    <row r="139" spans="1:2" x14ac:dyDescent="0.25">
      <c r="A139" s="3">
        <v>708</v>
      </c>
      <c r="B139">
        <v>1</v>
      </c>
    </row>
    <row r="140" spans="1:2" x14ac:dyDescent="0.25">
      <c r="A140" s="3">
        <v>733</v>
      </c>
      <c r="B140">
        <v>1</v>
      </c>
    </row>
    <row r="141" spans="1:2" x14ac:dyDescent="0.25">
      <c r="A141" s="3">
        <v>734</v>
      </c>
      <c r="B141">
        <v>1</v>
      </c>
    </row>
    <row r="142" spans="1:2" x14ac:dyDescent="0.25">
      <c r="A142" s="3">
        <v>735</v>
      </c>
      <c r="B142">
        <v>1</v>
      </c>
    </row>
    <row r="143" spans="1:2" x14ac:dyDescent="0.25">
      <c r="A143" s="3">
        <v>746</v>
      </c>
      <c r="B143">
        <v>1</v>
      </c>
    </row>
    <row r="144" spans="1:2" x14ac:dyDescent="0.25">
      <c r="A144" s="3">
        <v>750</v>
      </c>
      <c r="B144">
        <v>1</v>
      </c>
    </row>
    <row r="145" spans="1:2" x14ac:dyDescent="0.25">
      <c r="A145" s="3">
        <v>762</v>
      </c>
      <c r="B145">
        <v>1</v>
      </c>
    </row>
    <row r="146" spans="1:2" x14ac:dyDescent="0.25">
      <c r="A146" s="3">
        <v>768</v>
      </c>
      <c r="B146">
        <v>1</v>
      </c>
    </row>
    <row r="147" spans="1:2" x14ac:dyDescent="0.25">
      <c r="A147" s="3">
        <v>770</v>
      </c>
      <c r="B147">
        <v>1</v>
      </c>
    </row>
    <row r="148" spans="1:2" x14ac:dyDescent="0.25">
      <c r="A148" s="3">
        <v>778</v>
      </c>
      <c r="B148">
        <v>1</v>
      </c>
    </row>
    <row r="149" spans="1:2" x14ac:dyDescent="0.25">
      <c r="A149" s="3">
        <v>785</v>
      </c>
      <c r="B149">
        <v>1</v>
      </c>
    </row>
    <row r="150" spans="1:2" x14ac:dyDescent="0.25">
      <c r="A150" s="3">
        <v>786</v>
      </c>
      <c r="B150">
        <v>1</v>
      </c>
    </row>
    <row r="151" spans="1:2" x14ac:dyDescent="0.25">
      <c r="A151" s="3">
        <v>787</v>
      </c>
      <c r="B151">
        <v>1</v>
      </c>
    </row>
    <row r="152" spans="1:2" x14ac:dyDescent="0.25">
      <c r="A152" s="3">
        <v>789</v>
      </c>
      <c r="B152">
        <v>1</v>
      </c>
    </row>
    <row r="153" spans="1:2" x14ac:dyDescent="0.25">
      <c r="A153" s="3">
        <v>790</v>
      </c>
      <c r="B153">
        <v>1</v>
      </c>
    </row>
    <row r="154" spans="1:2" x14ac:dyDescent="0.25">
      <c r="A154" s="3">
        <v>798</v>
      </c>
      <c r="B154">
        <v>1</v>
      </c>
    </row>
    <row r="155" spans="1:2" x14ac:dyDescent="0.25">
      <c r="A155" s="3">
        <v>803</v>
      </c>
      <c r="B155">
        <v>1</v>
      </c>
    </row>
    <row r="156" spans="1:2" x14ac:dyDescent="0.25">
      <c r="A156" s="3">
        <v>804</v>
      </c>
      <c r="B156">
        <v>1</v>
      </c>
    </row>
    <row r="157" spans="1:2" x14ac:dyDescent="0.25">
      <c r="A157" s="3">
        <v>805</v>
      </c>
      <c r="B157">
        <v>1</v>
      </c>
    </row>
    <row r="158" spans="1:2" x14ac:dyDescent="0.25">
      <c r="A158" s="3">
        <v>811</v>
      </c>
      <c r="B158">
        <v>1</v>
      </c>
    </row>
    <row r="159" spans="1:2" x14ac:dyDescent="0.25">
      <c r="A159" s="3">
        <v>812</v>
      </c>
      <c r="B159">
        <v>1</v>
      </c>
    </row>
    <row r="160" spans="1:2" x14ac:dyDescent="0.25">
      <c r="A160" s="3">
        <v>814</v>
      </c>
      <c r="B160">
        <v>1</v>
      </c>
    </row>
    <row r="161" spans="1:2" x14ac:dyDescent="0.25">
      <c r="A161" s="3">
        <v>821</v>
      </c>
      <c r="B161">
        <v>1</v>
      </c>
    </row>
    <row r="162" spans="1:2" x14ac:dyDescent="0.25">
      <c r="A162" s="3">
        <v>830</v>
      </c>
      <c r="B162">
        <v>1</v>
      </c>
    </row>
    <row r="163" spans="1:2" x14ac:dyDescent="0.25">
      <c r="A163" s="3">
        <v>839</v>
      </c>
      <c r="B163">
        <v>1</v>
      </c>
    </row>
    <row r="164" spans="1:2" x14ac:dyDescent="0.25">
      <c r="A164" s="3">
        <v>841</v>
      </c>
      <c r="B164">
        <v>1</v>
      </c>
    </row>
    <row r="165" spans="1:2" x14ac:dyDescent="0.25">
      <c r="A165" s="3">
        <v>844</v>
      </c>
      <c r="B165">
        <v>1</v>
      </c>
    </row>
    <row r="166" spans="1:2" x14ac:dyDescent="0.25">
      <c r="A166" s="3">
        <v>848</v>
      </c>
      <c r="B166">
        <v>1</v>
      </c>
    </row>
    <row r="167" spans="1:2" x14ac:dyDescent="0.25">
      <c r="A167" s="3">
        <v>853</v>
      </c>
      <c r="B167">
        <v>1</v>
      </c>
    </row>
    <row r="168" spans="1:2" x14ac:dyDescent="0.25">
      <c r="A168" s="3">
        <v>864</v>
      </c>
      <c r="B168">
        <v>1</v>
      </c>
    </row>
    <row r="169" spans="1:2" x14ac:dyDescent="0.25">
      <c r="A169" s="3">
        <v>865</v>
      </c>
      <c r="B169">
        <v>1</v>
      </c>
    </row>
    <row r="170" spans="1:2" x14ac:dyDescent="0.25">
      <c r="A170" s="3">
        <v>874</v>
      </c>
      <c r="B170">
        <v>1</v>
      </c>
    </row>
    <row r="171" spans="1:2" x14ac:dyDescent="0.25">
      <c r="A171" s="3">
        <v>876</v>
      </c>
      <c r="B171">
        <v>1</v>
      </c>
    </row>
    <row r="172" spans="1:2" x14ac:dyDescent="0.25">
      <c r="A172" s="3">
        <v>881</v>
      </c>
      <c r="B172">
        <v>1</v>
      </c>
    </row>
    <row r="173" spans="1:2" x14ac:dyDescent="0.25">
      <c r="A173" s="3">
        <v>883</v>
      </c>
      <c r="B173">
        <v>1</v>
      </c>
    </row>
    <row r="174" spans="1:2" x14ac:dyDescent="0.25">
      <c r="A174" s="3">
        <v>885</v>
      </c>
      <c r="B174">
        <v>1</v>
      </c>
    </row>
    <row r="175" spans="1:2" x14ac:dyDescent="0.25">
      <c r="A175" s="3">
        <v>886</v>
      </c>
      <c r="B175">
        <v>1</v>
      </c>
    </row>
    <row r="176" spans="1:2" x14ac:dyDescent="0.25">
      <c r="A176" s="3">
        <v>888</v>
      </c>
      <c r="B176">
        <v>1</v>
      </c>
    </row>
    <row r="177" spans="1:2" x14ac:dyDescent="0.25">
      <c r="A177" s="3">
        <v>889</v>
      </c>
      <c r="B177">
        <v>1</v>
      </c>
    </row>
    <row r="178" spans="1:2" x14ac:dyDescent="0.25">
      <c r="A178" s="3">
        <v>891</v>
      </c>
      <c r="B178">
        <v>1</v>
      </c>
    </row>
    <row r="179" spans="1:2" x14ac:dyDescent="0.25">
      <c r="A179" s="3">
        <v>894</v>
      </c>
      <c r="B179">
        <v>1</v>
      </c>
    </row>
    <row r="180" spans="1:2" x14ac:dyDescent="0.25">
      <c r="A180" s="3">
        <v>898</v>
      </c>
      <c r="B180">
        <v>1</v>
      </c>
    </row>
    <row r="181" spans="1:2" x14ac:dyDescent="0.25">
      <c r="A181" s="3">
        <v>899</v>
      </c>
      <c r="B181">
        <v>1</v>
      </c>
    </row>
    <row r="182" spans="1:2" x14ac:dyDescent="0.25">
      <c r="A182" s="3">
        <v>902</v>
      </c>
      <c r="B182">
        <v>1</v>
      </c>
    </row>
    <row r="183" spans="1:2" x14ac:dyDescent="0.25">
      <c r="A183" s="3">
        <v>903</v>
      </c>
      <c r="B183">
        <v>1</v>
      </c>
    </row>
    <row r="184" spans="1:2" x14ac:dyDescent="0.25">
      <c r="A184" s="3">
        <v>906</v>
      </c>
      <c r="B184">
        <v>1</v>
      </c>
    </row>
    <row r="185" spans="1:2" x14ac:dyDescent="0.25">
      <c r="A185" s="3">
        <v>913</v>
      </c>
      <c r="B185">
        <v>1</v>
      </c>
    </row>
    <row r="186" spans="1:2" x14ac:dyDescent="0.25">
      <c r="A186" s="3">
        <v>935</v>
      </c>
      <c r="B186">
        <v>1</v>
      </c>
    </row>
    <row r="187" spans="1:2" x14ac:dyDescent="0.25">
      <c r="A187" s="3">
        <v>936</v>
      </c>
      <c r="B187">
        <v>1</v>
      </c>
    </row>
    <row r="188" spans="1:2" x14ac:dyDescent="0.25">
      <c r="A188" s="3">
        <v>946</v>
      </c>
      <c r="B188">
        <v>1</v>
      </c>
    </row>
    <row r="189" spans="1:2" x14ac:dyDescent="0.25">
      <c r="A189" s="3">
        <v>948</v>
      </c>
      <c r="B189">
        <v>1</v>
      </c>
    </row>
    <row r="190" spans="1:2" x14ac:dyDescent="0.25">
      <c r="A190" s="3">
        <v>950</v>
      </c>
      <c r="B190">
        <v>1</v>
      </c>
    </row>
    <row r="191" spans="1:2" x14ac:dyDescent="0.25">
      <c r="A191" s="3">
        <v>951</v>
      </c>
      <c r="B191">
        <v>1</v>
      </c>
    </row>
    <row r="192" spans="1:2" x14ac:dyDescent="0.25">
      <c r="A192" s="3">
        <v>953</v>
      </c>
      <c r="B192">
        <v>1</v>
      </c>
    </row>
    <row r="193" spans="1:2" x14ac:dyDescent="0.25">
      <c r="A193" s="3">
        <v>955</v>
      </c>
      <c r="B193">
        <v>1</v>
      </c>
    </row>
    <row r="194" spans="1:2" x14ac:dyDescent="0.25">
      <c r="A194" s="3">
        <v>957</v>
      </c>
      <c r="B194">
        <v>1</v>
      </c>
    </row>
    <row r="195" spans="1:2" x14ac:dyDescent="0.25">
      <c r="A195" s="3">
        <v>959</v>
      </c>
      <c r="B195">
        <v>1</v>
      </c>
    </row>
    <row r="196" spans="1:2" x14ac:dyDescent="0.25">
      <c r="A196" s="3">
        <v>962</v>
      </c>
      <c r="B196">
        <v>1</v>
      </c>
    </row>
    <row r="197" spans="1:2" x14ac:dyDescent="0.25">
      <c r="A197" s="3">
        <v>977</v>
      </c>
      <c r="B197">
        <v>1</v>
      </c>
    </row>
    <row r="198" spans="1:2" x14ac:dyDescent="0.25">
      <c r="A198" s="3">
        <v>982</v>
      </c>
      <c r="B198">
        <v>1</v>
      </c>
    </row>
    <row r="199" spans="1:2" x14ac:dyDescent="0.25">
      <c r="A199" s="3">
        <v>984</v>
      </c>
      <c r="B199">
        <v>1</v>
      </c>
    </row>
    <row r="200" spans="1:2" x14ac:dyDescent="0.25">
      <c r="A200" s="3">
        <v>988</v>
      </c>
      <c r="B200">
        <v>1</v>
      </c>
    </row>
    <row r="201" spans="1:2" x14ac:dyDescent="0.25">
      <c r="A201" s="3">
        <v>991</v>
      </c>
      <c r="B201">
        <v>1</v>
      </c>
    </row>
    <row r="202" spans="1:2" x14ac:dyDescent="0.25">
      <c r="A202" s="3">
        <v>993</v>
      </c>
      <c r="B202">
        <v>1</v>
      </c>
    </row>
    <row r="203" spans="1:2" x14ac:dyDescent="0.25">
      <c r="A203" s="3">
        <v>999</v>
      </c>
      <c r="B203">
        <v>1</v>
      </c>
    </row>
    <row r="204" spans="1:2" x14ac:dyDescent="0.25">
      <c r="A204" s="3" t="s">
        <v>1534</v>
      </c>
      <c r="B204">
        <v>200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7B315-07A2-4E19-816A-A7ACB9D8D6C8}">
  <dimension ref="A3:B5"/>
  <sheetViews>
    <sheetView workbookViewId="0">
      <selection activeCell="H9" sqref="H9"/>
    </sheetView>
  </sheetViews>
  <sheetFormatPr defaultRowHeight="15" x14ac:dyDescent="0.25"/>
  <cols>
    <col min="1" max="1" width="25.5703125" bestFit="1" customWidth="1"/>
    <col min="2" max="2" width="28" bestFit="1" customWidth="1"/>
  </cols>
  <sheetData>
    <row r="3" spans="1:2" x14ac:dyDescent="0.25">
      <c r="A3" s="2" t="s">
        <v>1533</v>
      </c>
      <c r="B3" t="s">
        <v>1551</v>
      </c>
    </row>
    <row r="4" spans="1:2" x14ac:dyDescent="0.25">
      <c r="A4" s="3" t="s">
        <v>615</v>
      </c>
      <c r="B4" s="5">
        <v>717.5</v>
      </c>
    </row>
    <row r="5" spans="1:2" x14ac:dyDescent="0.25">
      <c r="A5" s="3" t="s">
        <v>1534</v>
      </c>
      <c r="B5" s="5">
        <v>717.5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D30D4-E151-442D-BDA6-99D2F4AF8CD4}">
  <dimension ref="A1:E201"/>
  <sheetViews>
    <sheetView workbookViewId="0">
      <selection activeCell="D2" sqref="D2"/>
    </sheetView>
  </sheetViews>
  <sheetFormatPr defaultRowHeight="15" x14ac:dyDescent="0.25"/>
  <cols>
    <col min="1" max="1" width="17.28515625" bestFit="1" customWidth="1"/>
    <col min="2" max="2" width="18.140625" bestFit="1" customWidth="1"/>
    <col min="3" max="3" width="15" bestFit="1" customWidth="1"/>
    <col min="4" max="4" width="20.140625" bestFit="1" customWidth="1"/>
    <col min="5" max="5" width="28.28515625" customWidth="1"/>
  </cols>
  <sheetData>
    <row r="1" spans="1:5" x14ac:dyDescent="0.25">
      <c r="A1" t="s">
        <v>969</v>
      </c>
      <c r="B1" t="s">
        <v>970</v>
      </c>
      <c r="C1" t="s">
        <v>971</v>
      </c>
      <c r="D1" t="s">
        <v>1550</v>
      </c>
      <c r="E1" t="s">
        <v>1543</v>
      </c>
    </row>
    <row r="2" spans="1:5" x14ac:dyDescent="0.25">
      <c r="A2">
        <v>582</v>
      </c>
      <c r="B2">
        <v>690</v>
      </c>
      <c r="C2">
        <v>690</v>
      </c>
      <c r="D2">
        <f>VLOOKUP(B2,Shipment_Details!A:G,7,FALSE)</f>
        <v>1210</v>
      </c>
      <c r="E2" t="str">
        <f>VLOOKUP(A2,Employee_Details!A:C,3,FALSE)</f>
        <v>Market analyst</v>
      </c>
    </row>
    <row r="3" spans="1:5" x14ac:dyDescent="0.25">
      <c r="A3">
        <v>396</v>
      </c>
      <c r="B3">
        <v>933</v>
      </c>
      <c r="C3">
        <v>933</v>
      </c>
      <c r="D3">
        <f>VLOOKUP(B3,Shipment_Details!A:G,7,FALSE)</f>
        <v>1114</v>
      </c>
      <c r="E3" t="str">
        <f>VLOOKUP(A3,Employee_Details!A:C,3,FALSE)</f>
        <v>Chief finance officer</v>
      </c>
    </row>
    <row r="4" spans="1:5" x14ac:dyDescent="0.25">
      <c r="A4">
        <v>545</v>
      </c>
      <c r="B4">
        <v>261</v>
      </c>
      <c r="C4">
        <v>261</v>
      </c>
      <c r="D4">
        <f>VLOOKUP(B4,Shipment_Details!A:G,7,FALSE)</f>
        <v>1020</v>
      </c>
      <c r="E4" t="str">
        <f>VLOOKUP(A4,Employee_Details!A:C,3,FALSE)</f>
        <v>Transport manager</v>
      </c>
    </row>
    <row r="5" spans="1:5" x14ac:dyDescent="0.25">
      <c r="A5">
        <v>770</v>
      </c>
      <c r="B5">
        <v>445</v>
      </c>
      <c r="C5">
        <v>445</v>
      </c>
      <c r="D5">
        <f>VLOOKUP(B5,Shipment_Details!A:G,7,FALSE)</f>
        <v>1351</v>
      </c>
      <c r="E5" t="str">
        <f>VLOOKUP(A5,Employee_Details!A:C,3,FALSE)</f>
        <v>Warehouse manager</v>
      </c>
    </row>
    <row r="6" spans="1:5" x14ac:dyDescent="0.25">
      <c r="A6">
        <v>991</v>
      </c>
      <c r="B6">
        <v>722</v>
      </c>
      <c r="C6">
        <v>722</v>
      </c>
      <c r="D6">
        <f>VLOOKUP(B6,Shipment_Details!A:G,7,FALSE)</f>
        <v>566</v>
      </c>
      <c r="E6" t="str">
        <f>VLOOKUP(A6,Employee_Details!A:C,3,FALSE)</f>
        <v>Branch manager</v>
      </c>
    </row>
    <row r="7" spans="1:5" x14ac:dyDescent="0.25">
      <c r="A7">
        <v>437</v>
      </c>
      <c r="B7">
        <v>129</v>
      </c>
      <c r="C7">
        <v>129</v>
      </c>
      <c r="D7">
        <f>VLOOKUP(B7,Shipment_Details!A:G,7,FALSE)</f>
        <v>590</v>
      </c>
      <c r="E7" t="str">
        <f>VLOOKUP(A7,Employee_Details!A:C,3,FALSE)</f>
        <v>Project director</v>
      </c>
    </row>
    <row r="8" spans="1:5" x14ac:dyDescent="0.25">
      <c r="A8">
        <v>805</v>
      </c>
      <c r="B8">
        <v>489</v>
      </c>
      <c r="C8">
        <v>489</v>
      </c>
      <c r="D8">
        <f>VLOOKUP(B8,Shipment_Details!A:G,7,FALSE)</f>
        <v>1407</v>
      </c>
      <c r="E8" t="str">
        <f>VLOOKUP(A8,Employee_Details!A:C,3,FALSE)</f>
        <v>HR manager</v>
      </c>
    </row>
    <row r="9" spans="1:5" x14ac:dyDescent="0.25">
      <c r="A9">
        <v>803</v>
      </c>
      <c r="B9">
        <v>165</v>
      </c>
      <c r="C9">
        <v>165</v>
      </c>
      <c r="D9">
        <f>VLOOKUP(B9,Shipment_Details!A:G,7,FALSE)</f>
        <v>786</v>
      </c>
      <c r="E9" t="str">
        <f>VLOOKUP(A9,Employee_Details!A:C,3,FALSE)</f>
        <v>Material handling executive</v>
      </c>
    </row>
    <row r="10" spans="1:5" x14ac:dyDescent="0.25">
      <c r="A10">
        <v>295</v>
      </c>
      <c r="B10">
        <v>164</v>
      </c>
      <c r="C10">
        <v>164</v>
      </c>
      <c r="D10">
        <f>VLOOKUP(B10,Shipment_Details!A:G,7,FALSE)</f>
        <v>855</v>
      </c>
      <c r="E10" t="str">
        <f>VLOOKUP(A10,Employee_Details!A:C,3,FALSE)</f>
        <v>Non-executive director</v>
      </c>
    </row>
    <row r="11" spans="1:5" x14ac:dyDescent="0.25">
      <c r="A11">
        <v>804</v>
      </c>
      <c r="B11">
        <v>364</v>
      </c>
      <c r="C11">
        <v>364</v>
      </c>
      <c r="D11">
        <f>VLOOKUP(B11,Shipment_Details!A:G,7,FALSE)</f>
        <v>1182</v>
      </c>
      <c r="E11" t="str">
        <f>VLOOKUP(A11,Employee_Details!A:C,3,FALSE)</f>
        <v>Market analyst</v>
      </c>
    </row>
    <row r="12" spans="1:5" x14ac:dyDescent="0.25">
      <c r="A12">
        <v>54</v>
      </c>
      <c r="B12">
        <v>469</v>
      </c>
      <c r="C12">
        <v>469</v>
      </c>
      <c r="D12">
        <f>VLOOKUP(B12,Shipment_Details!A:G,7,FALSE)</f>
        <v>25</v>
      </c>
      <c r="E12" t="str">
        <f>VLOOKUP(A12,Employee_Details!A:C,3,FALSE)</f>
        <v>In House logistics executive</v>
      </c>
    </row>
    <row r="13" spans="1:5" x14ac:dyDescent="0.25">
      <c r="A13">
        <v>853</v>
      </c>
      <c r="B13">
        <v>158</v>
      </c>
      <c r="C13">
        <v>158</v>
      </c>
      <c r="D13">
        <f>VLOOKUP(B13,Shipment_Details!A:G,7,FALSE)</f>
        <v>861</v>
      </c>
      <c r="E13" t="str">
        <f>VLOOKUP(A13,Employee_Details!A:C,3,FALSE)</f>
        <v>Warehouse in charge</v>
      </c>
    </row>
    <row r="14" spans="1:5" x14ac:dyDescent="0.25">
      <c r="A14">
        <v>902</v>
      </c>
      <c r="B14">
        <v>337</v>
      </c>
      <c r="C14">
        <v>337</v>
      </c>
      <c r="D14">
        <f>VLOOKUP(B14,Shipment_Details!A:G,7,FALSE)</f>
        <v>834</v>
      </c>
      <c r="E14" t="str">
        <f>VLOOKUP(A14,Employee_Details!A:C,3,FALSE)</f>
        <v>Head of marketing</v>
      </c>
    </row>
    <row r="15" spans="1:5" x14ac:dyDescent="0.25">
      <c r="A15">
        <v>163</v>
      </c>
      <c r="B15">
        <v>634</v>
      </c>
      <c r="C15">
        <v>634</v>
      </c>
      <c r="D15">
        <f>VLOOKUP(B15,Shipment_Details!A:G,7,FALSE)</f>
        <v>1446</v>
      </c>
      <c r="E15" t="str">
        <f>VLOOKUP(A15,Employee_Details!A:C,3,FALSE)</f>
        <v>Technical support executive</v>
      </c>
    </row>
    <row r="16" spans="1:5" x14ac:dyDescent="0.25">
      <c r="A16">
        <v>993</v>
      </c>
      <c r="B16">
        <v>577</v>
      </c>
      <c r="C16">
        <v>577</v>
      </c>
      <c r="D16">
        <f>VLOOKUP(B16,Shipment_Details!A:G,7,FALSE)</f>
        <v>1455</v>
      </c>
      <c r="E16" t="str">
        <f>VLOOKUP(A16,Employee_Details!A:C,3,FALSE)</f>
        <v>Branch manager</v>
      </c>
    </row>
    <row r="17" spans="1:5" x14ac:dyDescent="0.25">
      <c r="A17">
        <v>891</v>
      </c>
      <c r="B17">
        <v>907</v>
      </c>
      <c r="C17">
        <v>907</v>
      </c>
      <c r="D17">
        <f>VLOOKUP(B17,Shipment_Details!A:G,7,FALSE)</f>
        <v>1020</v>
      </c>
      <c r="E17" t="str">
        <f>VLOOKUP(A17,Employee_Details!A:C,3,FALSE)</f>
        <v>IT support executive</v>
      </c>
    </row>
    <row r="18" spans="1:5" x14ac:dyDescent="0.25">
      <c r="A18">
        <v>950</v>
      </c>
      <c r="B18">
        <v>870</v>
      </c>
      <c r="C18">
        <v>870</v>
      </c>
      <c r="D18">
        <f>VLOOKUP(B18,Shipment_Details!A:G,7,FALSE)</f>
        <v>1042</v>
      </c>
      <c r="E18" t="str">
        <f>VLOOKUP(A18,Employee_Details!A:C,3,FALSE)</f>
        <v>Inventory manager</v>
      </c>
    </row>
    <row r="19" spans="1:5" x14ac:dyDescent="0.25">
      <c r="A19">
        <v>292</v>
      </c>
      <c r="B19">
        <v>982</v>
      </c>
      <c r="C19">
        <v>982</v>
      </c>
      <c r="D19">
        <f>VLOOKUP(B19,Shipment_Details!A:G,7,FALSE)</f>
        <v>915</v>
      </c>
      <c r="E19" t="str">
        <f>VLOOKUP(A19,Employee_Details!A:C,3,FALSE)</f>
        <v>In House logistics executive</v>
      </c>
    </row>
    <row r="20" spans="1:5" x14ac:dyDescent="0.25">
      <c r="A20">
        <v>90</v>
      </c>
      <c r="B20">
        <v>351</v>
      </c>
      <c r="C20">
        <v>351</v>
      </c>
      <c r="D20">
        <f>VLOOKUP(B20,Shipment_Details!A:G,7,FALSE)</f>
        <v>1053</v>
      </c>
      <c r="E20" t="str">
        <f>VLOOKUP(A20,Employee_Details!A:C,3,FALSE)</f>
        <v>Manager</v>
      </c>
    </row>
    <row r="21" spans="1:5" x14ac:dyDescent="0.25">
      <c r="A21">
        <v>49</v>
      </c>
      <c r="B21">
        <v>328</v>
      </c>
      <c r="C21">
        <v>328</v>
      </c>
      <c r="D21">
        <f>VLOOKUP(B21,Shipment_Details!A:G,7,FALSE)</f>
        <v>1066</v>
      </c>
      <c r="E21" t="str">
        <f>VLOOKUP(A21,Employee_Details!A:C,3,FALSE)</f>
        <v>Chief finance officer</v>
      </c>
    </row>
    <row r="22" spans="1:5" x14ac:dyDescent="0.25">
      <c r="A22">
        <v>100</v>
      </c>
      <c r="B22">
        <v>242</v>
      </c>
      <c r="C22">
        <v>242</v>
      </c>
      <c r="D22">
        <f>VLOOKUP(B22,Shipment_Details!A:G,7,FALSE)</f>
        <v>1253</v>
      </c>
      <c r="E22" t="str">
        <f>VLOOKUP(A22,Employee_Details!A:C,3,FALSE)</f>
        <v>Material handling executive</v>
      </c>
    </row>
    <row r="23" spans="1:5" x14ac:dyDescent="0.25">
      <c r="A23">
        <v>405</v>
      </c>
      <c r="B23">
        <v>421</v>
      </c>
      <c r="C23">
        <v>421</v>
      </c>
      <c r="D23">
        <f>VLOOKUP(B23,Shipment_Details!A:G,7,FALSE)</f>
        <v>535</v>
      </c>
      <c r="E23" t="str">
        <f>VLOOKUP(A23,Employee_Details!A:C,3,FALSE)</f>
        <v>IT support executive</v>
      </c>
    </row>
    <row r="24" spans="1:5" x14ac:dyDescent="0.25">
      <c r="A24">
        <v>584</v>
      </c>
      <c r="B24">
        <v>6</v>
      </c>
      <c r="C24">
        <v>6</v>
      </c>
      <c r="D24">
        <f>VLOOKUP(B24,Shipment_Details!A:G,7,FALSE)</f>
        <v>1256</v>
      </c>
      <c r="E24" t="str">
        <f>VLOOKUP(A24,Employee_Details!A:C,3,FALSE)</f>
        <v>Sales manager</v>
      </c>
    </row>
    <row r="25" spans="1:5" x14ac:dyDescent="0.25">
      <c r="A25">
        <v>326</v>
      </c>
      <c r="B25">
        <v>384</v>
      </c>
      <c r="C25">
        <v>384</v>
      </c>
      <c r="D25">
        <f>VLOOKUP(B25,Shipment_Details!A:G,7,FALSE)</f>
        <v>1033</v>
      </c>
      <c r="E25" t="str">
        <f>VLOOKUP(A25,Employee_Details!A:C,3,FALSE)</f>
        <v>Block development manager</v>
      </c>
    </row>
    <row r="26" spans="1:5" x14ac:dyDescent="0.25">
      <c r="A26">
        <v>95</v>
      </c>
      <c r="B26">
        <v>286</v>
      </c>
      <c r="C26">
        <v>286</v>
      </c>
      <c r="D26">
        <f>VLOOKUP(B26,Shipment_Details!A:G,7,FALSE)</f>
        <v>817</v>
      </c>
      <c r="E26" t="str">
        <f>VLOOKUP(A26,Employee_Details!A:C,3,FALSE)</f>
        <v>In House logistics executive</v>
      </c>
    </row>
    <row r="27" spans="1:5" x14ac:dyDescent="0.25">
      <c r="A27">
        <v>600</v>
      </c>
      <c r="B27">
        <v>892</v>
      </c>
      <c r="C27">
        <v>892</v>
      </c>
      <c r="D27">
        <f>VLOOKUP(B27,Shipment_Details!A:G,7,FALSE)</f>
        <v>1037</v>
      </c>
      <c r="E27" t="str">
        <f>VLOOKUP(A27,Employee_Details!A:C,3,FALSE)</f>
        <v>Assistant manager</v>
      </c>
    </row>
    <row r="28" spans="1:5" x14ac:dyDescent="0.25">
      <c r="A28">
        <v>26</v>
      </c>
      <c r="B28">
        <v>558</v>
      </c>
      <c r="C28">
        <v>558</v>
      </c>
      <c r="D28">
        <f>VLOOKUP(B28,Shipment_Details!A:G,7,FALSE)</f>
        <v>951</v>
      </c>
      <c r="E28" t="str">
        <f>VLOOKUP(A28,Employee_Details!A:C,3,FALSE)</f>
        <v>Non-executive director</v>
      </c>
    </row>
    <row r="29" spans="1:5" x14ac:dyDescent="0.25">
      <c r="A29">
        <v>515</v>
      </c>
      <c r="B29">
        <v>481</v>
      </c>
      <c r="C29">
        <v>481</v>
      </c>
      <c r="D29">
        <f>VLOOKUP(B29,Shipment_Details!A:G,7,FALSE)</f>
        <v>770</v>
      </c>
      <c r="E29" t="str">
        <f>VLOOKUP(A29,Employee_Details!A:C,3,FALSE)</f>
        <v>Delivery Boy</v>
      </c>
    </row>
    <row r="30" spans="1:5" x14ac:dyDescent="0.25">
      <c r="A30">
        <v>876</v>
      </c>
      <c r="B30">
        <v>155</v>
      </c>
      <c r="C30">
        <v>155</v>
      </c>
      <c r="D30">
        <f>VLOOKUP(B30,Shipment_Details!A:G,7,FALSE)</f>
        <v>293</v>
      </c>
      <c r="E30" t="str">
        <f>VLOOKUP(A30,Employee_Details!A:C,3,FALSE)</f>
        <v>Branch manager</v>
      </c>
    </row>
    <row r="31" spans="1:5" x14ac:dyDescent="0.25">
      <c r="A31">
        <v>691</v>
      </c>
      <c r="B31">
        <v>771</v>
      </c>
      <c r="C31">
        <v>771</v>
      </c>
      <c r="D31">
        <f>VLOOKUP(B31,Shipment_Details!A:G,7,FALSE)</f>
        <v>1414</v>
      </c>
      <c r="E31" t="str">
        <f>VLOOKUP(A31,Employee_Details!A:C,3,FALSE)</f>
        <v>Non-executive director</v>
      </c>
    </row>
    <row r="32" spans="1:5" x14ac:dyDescent="0.25">
      <c r="A32">
        <v>605</v>
      </c>
      <c r="B32">
        <v>945</v>
      </c>
      <c r="C32">
        <v>945</v>
      </c>
      <c r="D32">
        <f>VLOOKUP(B32,Shipment_Details!A:G,7,FALSE)</f>
        <v>524</v>
      </c>
      <c r="E32" t="str">
        <f>VLOOKUP(A32,Employee_Details!A:C,3,FALSE)</f>
        <v>Office manager</v>
      </c>
    </row>
    <row r="33" spans="1:5" x14ac:dyDescent="0.25">
      <c r="A33">
        <v>864</v>
      </c>
      <c r="B33">
        <v>719</v>
      </c>
      <c r="C33">
        <v>719</v>
      </c>
      <c r="D33">
        <f>VLOOKUP(B33,Shipment_Details!A:G,7,FALSE)</f>
        <v>1183</v>
      </c>
      <c r="E33" t="str">
        <f>VLOOKUP(A33,Employee_Details!A:C,3,FALSE)</f>
        <v>Engineering department manager</v>
      </c>
    </row>
    <row r="34" spans="1:5" x14ac:dyDescent="0.25">
      <c r="A34">
        <v>886</v>
      </c>
      <c r="B34">
        <v>493</v>
      </c>
      <c r="C34">
        <v>493</v>
      </c>
      <c r="D34">
        <f>VLOOKUP(B34,Shipment_Details!A:G,7,FALSE)</f>
        <v>566</v>
      </c>
      <c r="E34" t="str">
        <f>VLOOKUP(A34,Employee_Details!A:C,3,FALSE)</f>
        <v>Chief finance officer</v>
      </c>
    </row>
    <row r="35" spans="1:5" x14ac:dyDescent="0.25">
      <c r="A35">
        <v>365</v>
      </c>
      <c r="B35">
        <v>998</v>
      </c>
      <c r="C35">
        <v>998</v>
      </c>
      <c r="D35">
        <f>VLOOKUP(B35,Shipment_Details!A:G,7,FALSE)</f>
        <v>961</v>
      </c>
      <c r="E35" t="str">
        <f>VLOOKUP(A35,Employee_Details!A:C,3,FALSE)</f>
        <v>Assistant manager</v>
      </c>
    </row>
    <row r="36" spans="1:5" x14ac:dyDescent="0.25">
      <c r="A36">
        <v>946</v>
      </c>
      <c r="B36">
        <v>968</v>
      </c>
      <c r="C36">
        <v>968</v>
      </c>
      <c r="D36">
        <f>VLOOKUP(B36,Shipment_Details!A:G,7,FALSE)</f>
        <v>54</v>
      </c>
      <c r="E36" t="str">
        <f>VLOOKUP(A36,Employee_Details!A:C,3,FALSE)</f>
        <v>Chief executive officer</v>
      </c>
    </row>
    <row r="37" spans="1:5" x14ac:dyDescent="0.25">
      <c r="A37">
        <v>152</v>
      </c>
      <c r="B37">
        <v>738</v>
      </c>
      <c r="C37">
        <v>738</v>
      </c>
      <c r="D37">
        <f>VLOOKUP(B37,Shipment_Details!A:G,7,FALSE)</f>
        <v>1044</v>
      </c>
      <c r="E37" t="str">
        <f>VLOOKUP(A37,Employee_Details!A:C,3,FALSE)</f>
        <v>Delivery Boy</v>
      </c>
    </row>
    <row r="38" spans="1:5" x14ac:dyDescent="0.25">
      <c r="A38">
        <v>789</v>
      </c>
      <c r="B38">
        <v>912</v>
      </c>
      <c r="C38">
        <v>912</v>
      </c>
      <c r="D38">
        <f>VLOOKUP(B38,Shipment_Details!A:G,7,FALSE)</f>
        <v>1082</v>
      </c>
      <c r="E38" t="str">
        <f>VLOOKUP(A38,Employee_Details!A:C,3,FALSE)</f>
        <v>Project director</v>
      </c>
    </row>
    <row r="39" spans="1:5" x14ac:dyDescent="0.25">
      <c r="A39">
        <v>148</v>
      </c>
      <c r="B39">
        <v>782</v>
      </c>
      <c r="C39">
        <v>782</v>
      </c>
      <c r="D39">
        <f>VLOOKUP(B39,Shipment_Details!A:G,7,FALSE)</f>
        <v>871</v>
      </c>
      <c r="E39" t="str">
        <f>VLOOKUP(A39,Employee_Details!A:C,3,FALSE)</f>
        <v>Warehouse manager</v>
      </c>
    </row>
    <row r="40" spans="1:5" x14ac:dyDescent="0.25">
      <c r="A40">
        <v>7</v>
      </c>
      <c r="B40">
        <v>140</v>
      </c>
      <c r="C40">
        <v>140</v>
      </c>
      <c r="D40">
        <f>VLOOKUP(B40,Shipment_Details!A:G,7,FALSE)</f>
        <v>970</v>
      </c>
      <c r="E40" t="str">
        <f>VLOOKUP(A40,Employee_Details!A:C,3,FALSE)</f>
        <v>Transport manager</v>
      </c>
    </row>
    <row r="41" spans="1:5" x14ac:dyDescent="0.25">
      <c r="A41">
        <v>982</v>
      </c>
      <c r="B41">
        <v>702</v>
      </c>
      <c r="C41">
        <v>702</v>
      </c>
      <c r="D41">
        <f>VLOOKUP(B41,Shipment_Details!A:G,7,FALSE)</f>
        <v>617</v>
      </c>
      <c r="E41" t="str">
        <f>VLOOKUP(A41,Employee_Details!A:C,3,FALSE)</f>
        <v>Sales manager</v>
      </c>
    </row>
    <row r="42" spans="1:5" x14ac:dyDescent="0.25">
      <c r="A42">
        <v>249</v>
      </c>
      <c r="B42">
        <v>284</v>
      </c>
      <c r="C42">
        <v>284</v>
      </c>
      <c r="D42">
        <f>VLOOKUP(B42,Shipment_Details!A:G,7,FALSE)</f>
        <v>814</v>
      </c>
      <c r="E42" t="str">
        <f>VLOOKUP(A42,Employee_Details!A:C,3,FALSE)</f>
        <v>Manager</v>
      </c>
    </row>
    <row r="43" spans="1:5" x14ac:dyDescent="0.25">
      <c r="A43">
        <v>273</v>
      </c>
      <c r="B43">
        <v>199</v>
      </c>
      <c r="C43">
        <v>199</v>
      </c>
      <c r="D43">
        <f>VLOOKUP(B43,Shipment_Details!A:G,7,FALSE)</f>
        <v>1145</v>
      </c>
      <c r="E43" t="str">
        <f>VLOOKUP(A43,Employee_Details!A:C,3,FALSE)</f>
        <v>Branch manager</v>
      </c>
    </row>
    <row r="44" spans="1:5" x14ac:dyDescent="0.25">
      <c r="A44">
        <v>172</v>
      </c>
      <c r="B44">
        <v>228</v>
      </c>
      <c r="C44">
        <v>228</v>
      </c>
      <c r="D44">
        <f>VLOOKUP(B44,Shipment_Details!A:G,7,FALSE)</f>
        <v>902</v>
      </c>
      <c r="E44" t="str">
        <f>VLOOKUP(A44,Employee_Details!A:C,3,FALSE)</f>
        <v>Material handling executive</v>
      </c>
    </row>
    <row r="45" spans="1:5" x14ac:dyDescent="0.25">
      <c r="A45">
        <v>234</v>
      </c>
      <c r="B45">
        <v>908</v>
      </c>
      <c r="C45">
        <v>908</v>
      </c>
      <c r="D45">
        <f>VLOOKUP(B45,Shipment_Details!A:G,7,FALSE)</f>
        <v>1470</v>
      </c>
      <c r="E45" t="str">
        <f>VLOOKUP(A45,Employee_Details!A:C,3,FALSE)</f>
        <v>Project director</v>
      </c>
    </row>
    <row r="46" spans="1:5" x14ac:dyDescent="0.25">
      <c r="A46">
        <v>844</v>
      </c>
      <c r="B46">
        <v>594</v>
      </c>
      <c r="C46">
        <v>594</v>
      </c>
      <c r="D46">
        <f>VLOOKUP(B46,Shipment_Details!A:G,7,FALSE)</f>
        <v>568</v>
      </c>
      <c r="E46" t="str">
        <f>VLOOKUP(A46,Employee_Details!A:C,3,FALSE)</f>
        <v>Engineering department manager</v>
      </c>
    </row>
    <row r="47" spans="1:5" x14ac:dyDescent="0.25">
      <c r="A47">
        <v>368</v>
      </c>
      <c r="B47">
        <v>542</v>
      </c>
      <c r="C47">
        <v>542</v>
      </c>
      <c r="D47">
        <f>VLOOKUP(B47,Shipment_Details!A:G,7,FALSE)</f>
        <v>487</v>
      </c>
      <c r="E47" t="str">
        <f>VLOOKUP(A47,Employee_Details!A:C,3,FALSE)</f>
        <v>Material handling executive</v>
      </c>
    </row>
    <row r="48" spans="1:5" x14ac:dyDescent="0.25">
      <c r="A48">
        <v>372</v>
      </c>
      <c r="B48">
        <v>586</v>
      </c>
      <c r="C48">
        <v>586</v>
      </c>
      <c r="D48">
        <f>VLOOKUP(B48,Shipment_Details!A:G,7,FALSE)</f>
        <v>1197</v>
      </c>
      <c r="E48" t="str">
        <f>VLOOKUP(A48,Employee_Details!A:C,3,FALSE)</f>
        <v>Transport manager</v>
      </c>
    </row>
    <row r="49" spans="1:5" x14ac:dyDescent="0.25">
      <c r="A49">
        <v>82</v>
      </c>
      <c r="B49">
        <v>636</v>
      </c>
      <c r="C49">
        <v>636</v>
      </c>
      <c r="D49">
        <f>VLOOKUP(B49,Shipment_Details!A:G,7,FALSE)</f>
        <v>994</v>
      </c>
      <c r="E49" t="str">
        <f>VLOOKUP(A49,Employee_Details!A:C,3,FALSE)</f>
        <v>Block development manager</v>
      </c>
    </row>
    <row r="50" spans="1:5" x14ac:dyDescent="0.25">
      <c r="A50">
        <v>528</v>
      </c>
      <c r="B50">
        <v>581</v>
      </c>
      <c r="C50">
        <v>581</v>
      </c>
      <c r="D50">
        <f>VLOOKUP(B50,Shipment_Details!A:G,7,FALSE)</f>
        <v>933</v>
      </c>
      <c r="E50" t="str">
        <f>VLOOKUP(A50,Employee_Details!A:C,3,FALSE)</f>
        <v>Market analyst</v>
      </c>
    </row>
    <row r="51" spans="1:5" x14ac:dyDescent="0.25">
      <c r="A51">
        <v>143</v>
      </c>
      <c r="B51">
        <v>336</v>
      </c>
      <c r="C51">
        <v>336</v>
      </c>
      <c r="D51">
        <f>VLOOKUP(B51,Shipment_Details!A:G,7,FALSE)</f>
        <v>1168</v>
      </c>
      <c r="E51" t="str">
        <f>VLOOKUP(A51,Employee_Details!A:C,3,FALSE)</f>
        <v>IT support executive</v>
      </c>
    </row>
    <row r="52" spans="1:5" x14ac:dyDescent="0.25">
      <c r="A52">
        <v>429</v>
      </c>
      <c r="B52">
        <v>504</v>
      </c>
      <c r="C52">
        <v>504</v>
      </c>
      <c r="D52">
        <f>VLOOKUP(B52,Shipment_Details!A:G,7,FALSE)</f>
        <v>561</v>
      </c>
      <c r="E52" t="str">
        <f>VLOOKUP(A52,Employee_Details!A:C,3,FALSE)</f>
        <v>Warehouse manager</v>
      </c>
    </row>
    <row r="53" spans="1:5" x14ac:dyDescent="0.25">
      <c r="A53">
        <v>47</v>
      </c>
      <c r="B53">
        <v>346</v>
      </c>
      <c r="C53">
        <v>346</v>
      </c>
      <c r="D53">
        <f>VLOOKUP(B53,Shipment_Details!A:G,7,FALSE)</f>
        <v>850</v>
      </c>
      <c r="E53" t="str">
        <f>VLOOKUP(A53,Employee_Details!A:C,3,FALSE)</f>
        <v>Chief finance officer</v>
      </c>
    </row>
    <row r="54" spans="1:5" x14ac:dyDescent="0.25">
      <c r="A54">
        <v>790</v>
      </c>
      <c r="B54">
        <v>135</v>
      </c>
      <c r="C54">
        <v>135</v>
      </c>
      <c r="D54">
        <f>VLOOKUP(B54,Shipment_Details!A:G,7,FALSE)</f>
        <v>1393</v>
      </c>
      <c r="E54" t="str">
        <f>VLOOKUP(A54,Employee_Details!A:C,3,FALSE)</f>
        <v>Chief executive officer</v>
      </c>
    </row>
    <row r="55" spans="1:5" x14ac:dyDescent="0.25">
      <c r="A55">
        <v>427</v>
      </c>
      <c r="B55">
        <v>822</v>
      </c>
      <c r="C55">
        <v>822</v>
      </c>
      <c r="D55">
        <f>VLOOKUP(B55,Shipment_Details!A:G,7,FALSE)</f>
        <v>426</v>
      </c>
      <c r="E55" t="str">
        <f>VLOOKUP(A55,Employee_Details!A:C,3,FALSE)</f>
        <v>Branch manager</v>
      </c>
    </row>
    <row r="56" spans="1:5" x14ac:dyDescent="0.25">
      <c r="A56">
        <v>906</v>
      </c>
      <c r="B56">
        <v>95</v>
      </c>
      <c r="C56">
        <v>95</v>
      </c>
      <c r="D56">
        <f>VLOOKUP(B56,Shipment_Details!A:G,7,FALSE)</f>
        <v>1208</v>
      </c>
      <c r="E56" t="str">
        <f>VLOOKUP(A56,Employee_Details!A:C,3,FALSE)</f>
        <v>Office manager</v>
      </c>
    </row>
    <row r="57" spans="1:5" x14ac:dyDescent="0.25">
      <c r="A57">
        <v>750</v>
      </c>
      <c r="B57">
        <v>597</v>
      </c>
      <c r="C57">
        <v>597</v>
      </c>
      <c r="D57">
        <f>VLOOKUP(B57,Shipment_Details!A:G,7,FALSE)</f>
        <v>925</v>
      </c>
      <c r="E57" t="str">
        <f>VLOOKUP(A57,Employee_Details!A:C,3,FALSE)</f>
        <v>Assistant manager</v>
      </c>
    </row>
    <row r="58" spans="1:5" x14ac:dyDescent="0.25">
      <c r="A58">
        <v>913</v>
      </c>
      <c r="B58">
        <v>340</v>
      </c>
      <c r="C58">
        <v>340</v>
      </c>
      <c r="D58">
        <f>VLOOKUP(B58,Shipment_Details!A:G,7,FALSE)</f>
        <v>1392</v>
      </c>
      <c r="E58" t="str">
        <f>VLOOKUP(A58,Employee_Details!A:C,3,FALSE)</f>
        <v>Fleet manager</v>
      </c>
    </row>
    <row r="59" spans="1:5" x14ac:dyDescent="0.25">
      <c r="A59">
        <v>31</v>
      </c>
      <c r="B59">
        <v>905</v>
      </c>
      <c r="C59">
        <v>905</v>
      </c>
      <c r="D59">
        <f>VLOOKUP(B59,Shipment_Details!A:G,7,FALSE)</f>
        <v>1425</v>
      </c>
      <c r="E59" t="str">
        <f>VLOOKUP(A59,Employee_Details!A:C,3,FALSE)</f>
        <v>Office manager</v>
      </c>
    </row>
    <row r="60" spans="1:5" x14ac:dyDescent="0.25">
      <c r="A60">
        <v>733</v>
      </c>
      <c r="B60">
        <v>250</v>
      </c>
      <c r="C60">
        <v>250</v>
      </c>
      <c r="D60">
        <f>VLOOKUP(B60,Shipment_Details!A:G,7,FALSE)</f>
        <v>1225</v>
      </c>
      <c r="E60" t="str">
        <f>VLOOKUP(A60,Employee_Details!A:C,3,FALSE)</f>
        <v>Sales manager</v>
      </c>
    </row>
    <row r="61" spans="1:5" x14ac:dyDescent="0.25">
      <c r="A61">
        <v>624</v>
      </c>
      <c r="B61">
        <v>400</v>
      </c>
      <c r="C61">
        <v>400</v>
      </c>
      <c r="D61">
        <f>VLOOKUP(B61,Shipment_Details!A:G,7,FALSE)</f>
        <v>403</v>
      </c>
      <c r="E61" t="str">
        <f>VLOOKUP(A61,Employee_Details!A:C,3,FALSE)</f>
        <v>Engineering department manager</v>
      </c>
    </row>
    <row r="62" spans="1:5" x14ac:dyDescent="0.25">
      <c r="A62">
        <v>199</v>
      </c>
      <c r="B62">
        <v>877</v>
      </c>
      <c r="C62">
        <v>877</v>
      </c>
      <c r="D62">
        <f>VLOOKUP(B62,Shipment_Details!A:G,7,FALSE)</f>
        <v>1169</v>
      </c>
      <c r="E62" t="str">
        <f>VLOOKUP(A62,Employee_Details!A:C,3,FALSE)</f>
        <v>Delivery Boy</v>
      </c>
    </row>
    <row r="63" spans="1:5" x14ac:dyDescent="0.25">
      <c r="A63">
        <v>112</v>
      </c>
      <c r="B63">
        <v>97</v>
      </c>
      <c r="C63">
        <v>97</v>
      </c>
      <c r="D63">
        <f>VLOOKUP(B63,Shipment_Details!A:G,7,FALSE)</f>
        <v>1167</v>
      </c>
      <c r="E63" t="str">
        <f>VLOOKUP(A63,Employee_Details!A:C,3,FALSE)</f>
        <v>Non-executive director</v>
      </c>
    </row>
    <row r="64" spans="1:5" x14ac:dyDescent="0.25">
      <c r="A64">
        <v>256</v>
      </c>
      <c r="B64">
        <v>12</v>
      </c>
      <c r="C64">
        <v>12</v>
      </c>
      <c r="D64">
        <f>VLOOKUP(B64,Shipment_Details!A:G,7,FALSE)</f>
        <v>565</v>
      </c>
      <c r="E64" t="str">
        <f>VLOOKUP(A64,Employee_Details!A:C,3,FALSE)</f>
        <v>Assistant manager</v>
      </c>
    </row>
    <row r="65" spans="1:5" x14ac:dyDescent="0.25">
      <c r="A65">
        <v>848</v>
      </c>
      <c r="B65">
        <v>353</v>
      </c>
      <c r="C65">
        <v>353</v>
      </c>
      <c r="D65">
        <f>VLOOKUP(B65,Shipment_Details!A:G,7,FALSE)</f>
        <v>354</v>
      </c>
      <c r="E65" t="str">
        <f>VLOOKUP(A65,Employee_Details!A:C,3,FALSE)</f>
        <v>Delivery Boy</v>
      </c>
    </row>
    <row r="66" spans="1:5" x14ac:dyDescent="0.25">
      <c r="A66">
        <v>102</v>
      </c>
      <c r="B66">
        <v>856</v>
      </c>
      <c r="C66">
        <v>856</v>
      </c>
      <c r="D66">
        <f>VLOOKUP(B66,Shipment_Details!A:G,7,FALSE)</f>
        <v>1178</v>
      </c>
      <c r="E66" t="str">
        <f>VLOOKUP(A66,Employee_Details!A:C,3,FALSE)</f>
        <v>Delivery Boy</v>
      </c>
    </row>
    <row r="67" spans="1:5" x14ac:dyDescent="0.25">
      <c r="A67">
        <v>361</v>
      </c>
      <c r="B67">
        <v>1</v>
      </c>
      <c r="C67">
        <v>1</v>
      </c>
      <c r="D67">
        <f>VLOOKUP(B67,Shipment_Details!A:G,7,FALSE)</f>
        <v>1385</v>
      </c>
      <c r="E67" t="str">
        <f>VLOOKUP(A67,Employee_Details!A:C,3,FALSE)</f>
        <v>Market analyst</v>
      </c>
    </row>
    <row r="68" spans="1:5" x14ac:dyDescent="0.25">
      <c r="A68">
        <v>962</v>
      </c>
      <c r="B68">
        <v>390</v>
      </c>
      <c r="C68">
        <v>390</v>
      </c>
      <c r="D68">
        <f>VLOOKUP(B68,Shipment_Details!A:G,7,FALSE)</f>
        <v>780</v>
      </c>
      <c r="E68" t="str">
        <f>VLOOKUP(A68,Employee_Details!A:C,3,FALSE)</f>
        <v>Head of marketing</v>
      </c>
    </row>
    <row r="69" spans="1:5" x14ac:dyDescent="0.25">
      <c r="A69">
        <v>443</v>
      </c>
      <c r="B69">
        <v>446</v>
      </c>
      <c r="C69">
        <v>446</v>
      </c>
      <c r="D69">
        <f>VLOOKUP(B69,Shipment_Details!A:G,7,FALSE)</f>
        <v>1247</v>
      </c>
      <c r="E69" t="str">
        <f>VLOOKUP(A69,Employee_Details!A:C,3,FALSE)</f>
        <v>Warehouse in charge</v>
      </c>
    </row>
    <row r="70" spans="1:5" x14ac:dyDescent="0.25">
      <c r="A70">
        <v>977</v>
      </c>
      <c r="B70">
        <v>32</v>
      </c>
      <c r="C70">
        <v>32</v>
      </c>
      <c r="D70">
        <f>VLOOKUP(B70,Shipment_Details!A:G,7,FALSE)</f>
        <v>705</v>
      </c>
      <c r="E70" t="str">
        <f>VLOOKUP(A70,Employee_Details!A:C,3,FALSE)</f>
        <v>Marketing manager</v>
      </c>
    </row>
    <row r="71" spans="1:5" x14ac:dyDescent="0.25">
      <c r="A71">
        <v>936</v>
      </c>
      <c r="B71">
        <v>420</v>
      </c>
      <c r="C71">
        <v>420</v>
      </c>
      <c r="D71">
        <f>VLOOKUP(B71,Shipment_Details!A:G,7,FALSE)</f>
        <v>1130</v>
      </c>
      <c r="E71" t="str">
        <f>VLOOKUP(A71,Employee_Details!A:C,3,FALSE)</f>
        <v>Market analyst</v>
      </c>
    </row>
    <row r="72" spans="1:5" x14ac:dyDescent="0.25">
      <c r="A72">
        <v>395</v>
      </c>
      <c r="B72">
        <v>708</v>
      </c>
      <c r="C72">
        <v>708</v>
      </c>
      <c r="D72">
        <f>VLOOKUP(B72,Shipment_Details!A:G,7,FALSE)</f>
        <v>72</v>
      </c>
      <c r="E72" t="str">
        <f>VLOOKUP(A72,Employee_Details!A:C,3,FALSE)</f>
        <v>IT support executive</v>
      </c>
    </row>
    <row r="73" spans="1:5" x14ac:dyDescent="0.25">
      <c r="A73">
        <v>344</v>
      </c>
      <c r="B73">
        <v>227</v>
      </c>
      <c r="C73">
        <v>227</v>
      </c>
      <c r="D73">
        <f>VLOOKUP(B73,Shipment_Details!A:G,7,FALSE)</f>
        <v>564</v>
      </c>
      <c r="E73" t="str">
        <f>VLOOKUP(A73,Employee_Details!A:C,3,FALSE)</f>
        <v>Executive director</v>
      </c>
    </row>
    <row r="74" spans="1:5" x14ac:dyDescent="0.25">
      <c r="A74">
        <v>48</v>
      </c>
      <c r="B74">
        <v>595</v>
      </c>
      <c r="C74">
        <v>595</v>
      </c>
      <c r="D74">
        <f>VLOOKUP(B74,Shipment_Details!A:G,7,FALSE)</f>
        <v>1040</v>
      </c>
      <c r="E74" t="str">
        <f>VLOOKUP(A74,Employee_Details!A:C,3,FALSE)</f>
        <v>Inventory manager</v>
      </c>
    </row>
    <row r="75" spans="1:5" x14ac:dyDescent="0.25">
      <c r="A75">
        <v>362</v>
      </c>
      <c r="B75">
        <v>211</v>
      </c>
      <c r="C75">
        <v>211</v>
      </c>
      <c r="D75">
        <f>VLOOKUP(B75,Shipment_Details!A:G,7,FALSE)</f>
        <v>1220</v>
      </c>
      <c r="E75" t="str">
        <f>VLOOKUP(A75,Employee_Details!A:C,3,FALSE)</f>
        <v>Chief finance officer</v>
      </c>
    </row>
    <row r="76" spans="1:5" x14ac:dyDescent="0.25">
      <c r="A76">
        <v>88</v>
      </c>
      <c r="B76">
        <v>650</v>
      </c>
      <c r="C76">
        <v>650</v>
      </c>
      <c r="D76">
        <f>VLOOKUP(B76,Shipment_Details!A:G,7,FALSE)</f>
        <v>1141</v>
      </c>
      <c r="E76" t="str">
        <f>VLOOKUP(A76,Employee_Details!A:C,3,FALSE)</f>
        <v>Office manager</v>
      </c>
    </row>
    <row r="77" spans="1:5" x14ac:dyDescent="0.25">
      <c r="A77">
        <v>289</v>
      </c>
      <c r="B77">
        <v>45</v>
      </c>
      <c r="C77">
        <v>45</v>
      </c>
      <c r="D77">
        <f>VLOOKUP(B77,Shipment_Details!A:G,7,FALSE)</f>
        <v>1050</v>
      </c>
      <c r="E77" t="str">
        <f>VLOOKUP(A77,Employee_Details!A:C,3,FALSE)</f>
        <v>Chief finance officer</v>
      </c>
    </row>
    <row r="78" spans="1:5" x14ac:dyDescent="0.25">
      <c r="A78">
        <v>704</v>
      </c>
      <c r="B78">
        <v>201</v>
      </c>
      <c r="C78">
        <v>201</v>
      </c>
      <c r="D78">
        <f>VLOOKUP(B78,Shipment_Details!A:G,7,FALSE)</f>
        <v>850</v>
      </c>
      <c r="E78" t="str">
        <f>VLOOKUP(A78,Employee_Details!A:C,3,FALSE)</f>
        <v>Non-executive director</v>
      </c>
    </row>
    <row r="79" spans="1:5" x14ac:dyDescent="0.25">
      <c r="A79">
        <v>903</v>
      </c>
      <c r="B79">
        <v>564</v>
      </c>
      <c r="C79">
        <v>564</v>
      </c>
      <c r="D79">
        <f>VLOOKUP(B79,Shipment_Details!A:G,7,FALSE)</f>
        <v>1275</v>
      </c>
      <c r="E79" t="str">
        <f>VLOOKUP(A79,Employee_Details!A:C,3,FALSE)</f>
        <v>Engineering department manager</v>
      </c>
    </row>
    <row r="80" spans="1:5" x14ac:dyDescent="0.25">
      <c r="A80">
        <v>315</v>
      </c>
      <c r="B80">
        <v>138</v>
      </c>
      <c r="C80">
        <v>138</v>
      </c>
      <c r="D80">
        <f>VLOOKUP(B80,Shipment_Details!A:G,7,FALSE)</f>
        <v>714</v>
      </c>
      <c r="E80" t="str">
        <f>VLOOKUP(A80,Employee_Details!A:C,3,FALSE)</f>
        <v>Chief finance officer</v>
      </c>
    </row>
    <row r="81" spans="1:5" x14ac:dyDescent="0.25">
      <c r="A81">
        <v>501</v>
      </c>
      <c r="B81">
        <v>57</v>
      </c>
      <c r="C81">
        <v>57</v>
      </c>
      <c r="D81">
        <f>VLOOKUP(B81,Shipment_Details!A:G,7,FALSE)</f>
        <v>1027</v>
      </c>
      <c r="E81" t="str">
        <f>VLOOKUP(A81,Employee_Details!A:C,3,FALSE)</f>
        <v>Warehouse in charge</v>
      </c>
    </row>
    <row r="82" spans="1:5" x14ac:dyDescent="0.25">
      <c r="A82">
        <v>812</v>
      </c>
      <c r="B82">
        <v>128</v>
      </c>
      <c r="C82">
        <v>128</v>
      </c>
      <c r="D82">
        <f>VLOOKUP(B82,Shipment_Details!A:G,7,FALSE)</f>
        <v>1486</v>
      </c>
      <c r="E82" t="str">
        <f>VLOOKUP(A82,Employee_Details!A:C,3,FALSE)</f>
        <v>Market analyst</v>
      </c>
    </row>
    <row r="83" spans="1:5" x14ac:dyDescent="0.25">
      <c r="A83">
        <v>953</v>
      </c>
      <c r="B83">
        <v>33</v>
      </c>
      <c r="C83">
        <v>33</v>
      </c>
      <c r="D83">
        <f>VLOOKUP(B83,Shipment_Details!A:G,7,FALSE)</f>
        <v>1312</v>
      </c>
      <c r="E83" t="str">
        <f>VLOOKUP(A83,Employee_Details!A:C,3,FALSE)</f>
        <v>Executive director</v>
      </c>
    </row>
    <row r="84" spans="1:5" x14ac:dyDescent="0.25">
      <c r="A84">
        <v>830</v>
      </c>
      <c r="B84">
        <v>936</v>
      </c>
      <c r="C84">
        <v>936</v>
      </c>
      <c r="D84">
        <f>VLOOKUP(B84,Shipment_Details!A:G,7,FALSE)</f>
        <v>1007</v>
      </c>
      <c r="E84" t="str">
        <f>VLOOKUP(A84,Employee_Details!A:C,3,FALSE)</f>
        <v>Director</v>
      </c>
    </row>
    <row r="85" spans="1:5" x14ac:dyDescent="0.25">
      <c r="A85">
        <v>656</v>
      </c>
      <c r="B85">
        <v>762</v>
      </c>
      <c r="C85">
        <v>762</v>
      </c>
      <c r="D85">
        <f>VLOOKUP(B85,Shipment_Details!A:G,7,FALSE)</f>
        <v>926</v>
      </c>
      <c r="E85" t="str">
        <f>VLOOKUP(A85,Employee_Details!A:C,3,FALSE)</f>
        <v>Block development manager</v>
      </c>
    </row>
    <row r="86" spans="1:5" x14ac:dyDescent="0.25">
      <c r="A86">
        <v>935</v>
      </c>
      <c r="B86">
        <v>838</v>
      </c>
      <c r="C86">
        <v>838</v>
      </c>
      <c r="D86">
        <f>VLOOKUP(B86,Shipment_Details!A:G,7,FALSE)</f>
        <v>1036</v>
      </c>
      <c r="E86" t="str">
        <f>VLOOKUP(A86,Employee_Details!A:C,3,FALSE)</f>
        <v>Assistant manager</v>
      </c>
    </row>
    <row r="87" spans="1:5" x14ac:dyDescent="0.25">
      <c r="A87">
        <v>762</v>
      </c>
      <c r="B87">
        <v>215</v>
      </c>
      <c r="C87">
        <v>215</v>
      </c>
      <c r="D87">
        <f>VLOOKUP(B87,Shipment_Details!A:G,7,FALSE)</f>
        <v>1161</v>
      </c>
      <c r="E87" t="str">
        <f>VLOOKUP(A87,Employee_Details!A:C,3,FALSE)</f>
        <v>Market analyst</v>
      </c>
    </row>
    <row r="88" spans="1:5" x14ac:dyDescent="0.25">
      <c r="A88">
        <v>698</v>
      </c>
      <c r="B88">
        <v>818</v>
      </c>
      <c r="C88">
        <v>818</v>
      </c>
      <c r="D88">
        <f>VLOOKUP(B88,Shipment_Details!A:G,7,FALSE)</f>
        <v>1016</v>
      </c>
      <c r="E88" t="str">
        <f>VLOOKUP(A88,Employee_Details!A:C,3,FALSE)</f>
        <v>Material handling executive</v>
      </c>
    </row>
    <row r="89" spans="1:5" x14ac:dyDescent="0.25">
      <c r="A89">
        <v>294</v>
      </c>
      <c r="B89">
        <v>780</v>
      </c>
      <c r="C89">
        <v>780</v>
      </c>
      <c r="D89">
        <f>VLOOKUP(B89,Shipment_Details!A:G,7,FALSE)</f>
        <v>1058</v>
      </c>
      <c r="E89" t="str">
        <f>VLOOKUP(A89,Employee_Details!A:C,3,FALSE)</f>
        <v>Fleet manager</v>
      </c>
    </row>
    <row r="90" spans="1:5" x14ac:dyDescent="0.25">
      <c r="A90">
        <v>535</v>
      </c>
      <c r="B90">
        <v>40</v>
      </c>
      <c r="C90">
        <v>40</v>
      </c>
      <c r="D90">
        <f>VLOOKUP(B90,Shipment_Details!A:G,7,FALSE)</f>
        <v>648</v>
      </c>
      <c r="E90" t="str">
        <f>VLOOKUP(A90,Employee_Details!A:C,3,FALSE)</f>
        <v>Transport manager</v>
      </c>
    </row>
    <row r="91" spans="1:5" x14ac:dyDescent="0.25">
      <c r="A91">
        <v>357</v>
      </c>
      <c r="B91">
        <v>366</v>
      </c>
      <c r="C91">
        <v>366</v>
      </c>
      <c r="D91">
        <f>VLOOKUP(B91,Shipment_Details!A:G,7,FALSE)</f>
        <v>1015</v>
      </c>
      <c r="E91" t="str">
        <f>VLOOKUP(A91,Employee_Details!A:C,3,FALSE)</f>
        <v>Executive director</v>
      </c>
    </row>
    <row r="92" spans="1:5" x14ac:dyDescent="0.25">
      <c r="A92">
        <v>468</v>
      </c>
      <c r="B92">
        <v>678</v>
      </c>
      <c r="C92">
        <v>678</v>
      </c>
      <c r="D92">
        <f>VLOOKUP(B92,Shipment_Details!A:G,7,FALSE)</f>
        <v>938</v>
      </c>
      <c r="E92" t="str">
        <f>VLOOKUP(A92,Employee_Details!A:C,3,FALSE)</f>
        <v>Warehouse manager</v>
      </c>
    </row>
    <row r="93" spans="1:5" x14ac:dyDescent="0.25">
      <c r="A93">
        <v>798</v>
      </c>
      <c r="B93">
        <v>703</v>
      </c>
      <c r="C93">
        <v>703</v>
      </c>
      <c r="D93">
        <f>VLOOKUP(B93,Shipment_Details!A:G,7,FALSE)</f>
        <v>597</v>
      </c>
      <c r="E93" t="str">
        <f>VLOOKUP(A93,Employee_Details!A:C,3,FALSE)</f>
        <v>Sales manager</v>
      </c>
    </row>
    <row r="94" spans="1:5" x14ac:dyDescent="0.25">
      <c r="A94">
        <v>497</v>
      </c>
      <c r="B94">
        <v>180</v>
      </c>
      <c r="C94">
        <v>180</v>
      </c>
      <c r="D94">
        <f>VLOOKUP(B94,Shipment_Details!A:G,7,FALSE)</f>
        <v>1182</v>
      </c>
      <c r="E94" t="str">
        <f>VLOOKUP(A94,Employee_Details!A:C,3,FALSE)</f>
        <v>Delivery Boy</v>
      </c>
    </row>
    <row r="95" spans="1:5" x14ac:dyDescent="0.25">
      <c r="A95">
        <v>841</v>
      </c>
      <c r="B95">
        <v>214</v>
      </c>
      <c r="C95">
        <v>214</v>
      </c>
      <c r="D95">
        <f>VLOOKUP(B95,Shipment_Details!A:G,7,FALSE)</f>
        <v>713</v>
      </c>
      <c r="E95" t="str">
        <f>VLOOKUP(A95,Employee_Details!A:C,3,FALSE)</f>
        <v>In House logistics executive</v>
      </c>
    </row>
    <row r="96" spans="1:5" x14ac:dyDescent="0.25">
      <c r="A96">
        <v>521</v>
      </c>
      <c r="B96">
        <v>408</v>
      </c>
      <c r="C96">
        <v>408</v>
      </c>
      <c r="D96">
        <f>VLOOKUP(B96,Shipment_Details!A:G,7,FALSE)</f>
        <v>939</v>
      </c>
      <c r="E96" t="str">
        <f>VLOOKUP(A96,Employee_Details!A:C,3,FALSE)</f>
        <v>Technical support executive</v>
      </c>
    </row>
    <row r="97" spans="1:5" x14ac:dyDescent="0.25">
      <c r="A97">
        <v>2</v>
      </c>
      <c r="B97">
        <v>902</v>
      </c>
      <c r="C97">
        <v>902</v>
      </c>
      <c r="D97">
        <f>VLOOKUP(B97,Shipment_Details!A:G,7,FALSE)</f>
        <v>1082</v>
      </c>
      <c r="E97" t="str">
        <f>VLOOKUP(A97,Employee_Details!A:C,3,FALSE)</f>
        <v>Transport manager</v>
      </c>
    </row>
    <row r="98" spans="1:5" x14ac:dyDescent="0.25">
      <c r="A98">
        <v>637</v>
      </c>
      <c r="B98">
        <v>763</v>
      </c>
      <c r="C98">
        <v>763</v>
      </c>
      <c r="D98">
        <f>VLOOKUP(B98,Shipment_Details!A:G,7,FALSE)</f>
        <v>1347</v>
      </c>
      <c r="E98" t="str">
        <f>VLOOKUP(A98,Employee_Details!A:C,3,FALSE)</f>
        <v>Inventory manager</v>
      </c>
    </row>
    <row r="99" spans="1:5" x14ac:dyDescent="0.25">
      <c r="A99">
        <v>407</v>
      </c>
      <c r="B99">
        <v>168</v>
      </c>
      <c r="C99">
        <v>168</v>
      </c>
      <c r="D99">
        <f>VLOOKUP(B99,Shipment_Details!A:G,7,FALSE)</f>
        <v>47</v>
      </c>
      <c r="E99" t="str">
        <f>VLOOKUP(A99,Employee_Details!A:C,3,FALSE)</f>
        <v>Branch manager</v>
      </c>
    </row>
    <row r="100" spans="1:5" x14ac:dyDescent="0.25">
      <c r="A100">
        <v>87</v>
      </c>
      <c r="B100">
        <v>723</v>
      </c>
      <c r="C100">
        <v>723</v>
      </c>
      <c r="D100">
        <f>VLOOKUP(B100,Shipment_Details!A:G,7,FALSE)</f>
        <v>762</v>
      </c>
      <c r="E100" t="str">
        <f>VLOOKUP(A100,Employee_Details!A:C,3,FALSE)</f>
        <v>Branch manager</v>
      </c>
    </row>
    <row r="101" spans="1:5" x14ac:dyDescent="0.25">
      <c r="A101">
        <v>894</v>
      </c>
      <c r="B101">
        <v>438</v>
      </c>
      <c r="C101">
        <v>438</v>
      </c>
      <c r="D101">
        <f>VLOOKUP(B101,Shipment_Details!A:G,7,FALSE)</f>
        <v>642</v>
      </c>
      <c r="E101" t="str">
        <f>VLOOKUP(A101,Employee_Details!A:C,3,FALSE)</f>
        <v>Inventory manager</v>
      </c>
    </row>
    <row r="102" spans="1:5" x14ac:dyDescent="0.25">
      <c r="A102">
        <v>708</v>
      </c>
      <c r="B102">
        <v>162</v>
      </c>
      <c r="C102">
        <v>162</v>
      </c>
      <c r="D102">
        <f>VLOOKUP(B102,Shipment_Details!A:G,7,FALSE)</f>
        <v>665</v>
      </c>
      <c r="E102" t="str">
        <f>VLOOKUP(A102,Employee_Details!A:C,3,FALSE)</f>
        <v>Inventory manager</v>
      </c>
    </row>
    <row r="103" spans="1:5" x14ac:dyDescent="0.25">
      <c r="A103">
        <v>311</v>
      </c>
      <c r="B103">
        <v>246</v>
      </c>
      <c r="C103">
        <v>246</v>
      </c>
      <c r="D103">
        <f>VLOOKUP(B103,Shipment_Details!A:G,7,FALSE)</f>
        <v>963</v>
      </c>
      <c r="E103" t="str">
        <f>VLOOKUP(A103,Employee_Details!A:C,3,FALSE)</f>
        <v>In House logistics executive</v>
      </c>
    </row>
    <row r="104" spans="1:5" x14ac:dyDescent="0.25">
      <c r="A104">
        <v>888</v>
      </c>
      <c r="B104">
        <v>105</v>
      </c>
      <c r="C104">
        <v>105</v>
      </c>
      <c r="D104">
        <f>VLOOKUP(B104,Shipment_Details!A:G,7,FALSE)</f>
        <v>1419</v>
      </c>
      <c r="E104" t="str">
        <f>VLOOKUP(A104,Employee_Details!A:C,3,FALSE)</f>
        <v>Delivery Boy</v>
      </c>
    </row>
    <row r="105" spans="1:5" x14ac:dyDescent="0.25">
      <c r="A105">
        <v>678</v>
      </c>
      <c r="B105">
        <v>308</v>
      </c>
      <c r="C105">
        <v>308</v>
      </c>
      <c r="D105">
        <f>VLOOKUP(B105,Shipment_Details!A:G,7,FALSE)</f>
        <v>656</v>
      </c>
      <c r="E105" t="str">
        <f>VLOOKUP(A105,Employee_Details!A:C,3,FALSE)</f>
        <v>Chief executive officer</v>
      </c>
    </row>
    <row r="106" spans="1:5" x14ac:dyDescent="0.25">
      <c r="A106">
        <v>734</v>
      </c>
      <c r="B106">
        <v>172</v>
      </c>
      <c r="C106">
        <v>172</v>
      </c>
      <c r="D106">
        <f>VLOOKUP(B106,Shipment_Details!A:G,7,FALSE)</f>
        <v>1381</v>
      </c>
      <c r="E106" t="str">
        <f>VLOOKUP(A106,Employee_Details!A:C,3,FALSE)</f>
        <v>Manager</v>
      </c>
    </row>
    <row r="107" spans="1:5" x14ac:dyDescent="0.25">
      <c r="A107">
        <v>640</v>
      </c>
      <c r="B107">
        <v>775</v>
      </c>
      <c r="C107">
        <v>775</v>
      </c>
      <c r="D107">
        <f>VLOOKUP(B107,Shipment_Details!A:G,7,FALSE)</f>
        <v>713</v>
      </c>
      <c r="E107" t="str">
        <f>VLOOKUP(A107,Employee_Details!A:C,3,FALSE)</f>
        <v>Inventory manager</v>
      </c>
    </row>
    <row r="108" spans="1:5" x14ac:dyDescent="0.25">
      <c r="A108">
        <v>189</v>
      </c>
      <c r="B108">
        <v>333</v>
      </c>
      <c r="C108">
        <v>333</v>
      </c>
      <c r="D108">
        <f>VLOOKUP(B108,Shipment_Details!A:G,7,FALSE)</f>
        <v>1104</v>
      </c>
      <c r="E108" t="str">
        <f>VLOOKUP(A108,Employee_Details!A:C,3,FALSE)</f>
        <v>Marketing manager</v>
      </c>
    </row>
    <row r="109" spans="1:5" x14ac:dyDescent="0.25">
      <c r="A109">
        <v>685</v>
      </c>
      <c r="B109">
        <v>548</v>
      </c>
      <c r="C109">
        <v>548</v>
      </c>
      <c r="D109">
        <f>VLOOKUP(B109,Shipment_Details!A:G,7,FALSE)</f>
        <v>571</v>
      </c>
      <c r="E109" t="str">
        <f>VLOOKUP(A109,Employee_Details!A:C,3,FALSE)</f>
        <v>Material handling executive</v>
      </c>
    </row>
    <row r="110" spans="1:5" x14ac:dyDescent="0.25">
      <c r="A110">
        <v>617</v>
      </c>
      <c r="B110">
        <v>665</v>
      </c>
      <c r="C110">
        <v>665</v>
      </c>
      <c r="D110">
        <f>VLOOKUP(B110,Shipment_Details!A:G,7,FALSE)</f>
        <v>1405</v>
      </c>
      <c r="E110" t="str">
        <f>VLOOKUP(A110,Employee_Details!A:C,3,FALSE)</f>
        <v>Engineering department manager</v>
      </c>
    </row>
    <row r="111" spans="1:5" x14ac:dyDescent="0.25">
      <c r="A111">
        <v>508</v>
      </c>
      <c r="B111">
        <v>305</v>
      </c>
      <c r="C111">
        <v>305</v>
      </c>
      <c r="D111">
        <f>VLOOKUP(B111,Shipment_Details!A:G,7,FALSE)</f>
        <v>1473</v>
      </c>
      <c r="E111" t="str">
        <f>VLOOKUP(A111,Employee_Details!A:C,3,FALSE)</f>
        <v>Delivery Boy</v>
      </c>
    </row>
    <row r="112" spans="1:5" x14ac:dyDescent="0.25">
      <c r="A112">
        <v>406</v>
      </c>
      <c r="B112">
        <v>938</v>
      </c>
      <c r="C112">
        <v>938</v>
      </c>
      <c r="D112">
        <f>VLOOKUP(B112,Shipment_Details!A:G,7,FALSE)</f>
        <v>20</v>
      </c>
      <c r="E112" t="str">
        <f>VLOOKUP(A112,Employee_Details!A:C,3,FALSE)</f>
        <v>Block development manager</v>
      </c>
    </row>
    <row r="113" spans="1:5" x14ac:dyDescent="0.25">
      <c r="A113">
        <v>132</v>
      </c>
      <c r="B113">
        <v>714</v>
      </c>
      <c r="C113">
        <v>714</v>
      </c>
      <c r="D113">
        <f>VLOOKUP(B113,Shipment_Details!A:G,7,FALSE)</f>
        <v>835</v>
      </c>
      <c r="E113" t="str">
        <f>VLOOKUP(A113,Employee_Details!A:C,3,FALSE)</f>
        <v>Assistant manager</v>
      </c>
    </row>
    <row r="114" spans="1:5" x14ac:dyDescent="0.25">
      <c r="A114">
        <v>785</v>
      </c>
      <c r="B114">
        <v>251</v>
      </c>
      <c r="C114">
        <v>251</v>
      </c>
      <c r="D114">
        <f>VLOOKUP(B114,Shipment_Details!A:G,7,FALSE)</f>
        <v>651</v>
      </c>
      <c r="E114" t="str">
        <f>VLOOKUP(A114,Employee_Details!A:C,3,FALSE)</f>
        <v>Market analyst</v>
      </c>
    </row>
    <row r="115" spans="1:5" x14ac:dyDescent="0.25">
      <c r="A115">
        <v>113</v>
      </c>
      <c r="B115">
        <v>330</v>
      </c>
      <c r="C115">
        <v>330</v>
      </c>
      <c r="D115">
        <f>VLOOKUP(B115,Shipment_Details!A:G,7,FALSE)</f>
        <v>653</v>
      </c>
      <c r="E115" t="str">
        <f>VLOOKUP(A115,Employee_Details!A:C,3,FALSE)</f>
        <v>Office manager</v>
      </c>
    </row>
    <row r="116" spans="1:5" x14ac:dyDescent="0.25">
      <c r="A116">
        <v>951</v>
      </c>
      <c r="B116">
        <v>69</v>
      </c>
      <c r="C116">
        <v>69</v>
      </c>
      <c r="D116">
        <f>VLOOKUP(B116,Shipment_Details!A:G,7,FALSE)</f>
        <v>740</v>
      </c>
      <c r="E116" t="str">
        <f>VLOOKUP(A116,Employee_Details!A:C,3,FALSE)</f>
        <v>Market analyst</v>
      </c>
    </row>
    <row r="117" spans="1:5" x14ac:dyDescent="0.25">
      <c r="A117">
        <v>169</v>
      </c>
      <c r="B117">
        <v>969</v>
      </c>
      <c r="C117">
        <v>969</v>
      </c>
      <c r="D117">
        <f>VLOOKUP(B117,Shipment_Details!A:G,7,FALSE)</f>
        <v>1334</v>
      </c>
      <c r="E117" t="str">
        <f>VLOOKUP(A117,Employee_Details!A:C,3,FALSE)</f>
        <v>Head of marketing</v>
      </c>
    </row>
    <row r="118" spans="1:5" x14ac:dyDescent="0.25">
      <c r="A118">
        <v>984</v>
      </c>
      <c r="B118">
        <v>974</v>
      </c>
      <c r="C118">
        <v>974</v>
      </c>
      <c r="D118">
        <f>VLOOKUP(B118,Shipment_Details!A:G,7,FALSE)</f>
        <v>770</v>
      </c>
      <c r="E118" t="str">
        <f>VLOOKUP(A118,Employee_Details!A:C,3,FALSE)</f>
        <v>Head of marketing</v>
      </c>
    </row>
    <row r="119" spans="1:5" x14ac:dyDescent="0.25">
      <c r="A119">
        <v>881</v>
      </c>
      <c r="B119">
        <v>526</v>
      </c>
      <c r="C119">
        <v>526</v>
      </c>
      <c r="D119">
        <f>VLOOKUP(B119,Shipment_Details!A:G,7,FALSE)</f>
        <v>1205</v>
      </c>
      <c r="E119" t="str">
        <f>VLOOKUP(A119,Employee_Details!A:C,3,FALSE)</f>
        <v>Sales manager</v>
      </c>
    </row>
    <row r="120" spans="1:5" x14ac:dyDescent="0.25">
      <c r="A120">
        <v>883</v>
      </c>
      <c r="B120">
        <v>510</v>
      </c>
      <c r="C120">
        <v>510</v>
      </c>
      <c r="D120">
        <f>VLOOKUP(B120,Shipment_Details!A:G,7,FALSE)</f>
        <v>716</v>
      </c>
      <c r="E120" t="str">
        <f>VLOOKUP(A120,Employee_Details!A:C,3,FALSE)</f>
        <v>Material handling executive</v>
      </c>
    </row>
    <row r="121" spans="1:5" x14ac:dyDescent="0.25">
      <c r="A121">
        <v>735</v>
      </c>
      <c r="B121">
        <v>444</v>
      </c>
      <c r="C121">
        <v>444</v>
      </c>
      <c r="D121">
        <f>VLOOKUP(B121,Shipment_Details!A:G,7,FALSE)</f>
        <v>1250</v>
      </c>
      <c r="E121" t="str">
        <f>VLOOKUP(A121,Employee_Details!A:C,3,FALSE)</f>
        <v>Project director</v>
      </c>
    </row>
    <row r="122" spans="1:5" x14ac:dyDescent="0.25">
      <c r="A122">
        <v>120</v>
      </c>
      <c r="B122">
        <v>503</v>
      </c>
      <c r="C122">
        <v>503</v>
      </c>
      <c r="D122">
        <f>VLOOKUP(B122,Shipment_Details!A:G,7,FALSE)</f>
        <v>935</v>
      </c>
      <c r="E122" t="str">
        <f>VLOOKUP(A122,Employee_Details!A:C,3,FALSE)</f>
        <v>Transport manager</v>
      </c>
    </row>
    <row r="123" spans="1:5" x14ac:dyDescent="0.25">
      <c r="A123">
        <v>92</v>
      </c>
      <c r="B123">
        <v>109</v>
      </c>
      <c r="C123">
        <v>109</v>
      </c>
      <c r="D123">
        <f>VLOOKUP(B123,Shipment_Details!A:G,7,FALSE)</f>
        <v>1185</v>
      </c>
      <c r="E123" t="str">
        <f>VLOOKUP(A123,Employee_Details!A:C,3,FALSE)</f>
        <v>Marketing manager</v>
      </c>
    </row>
    <row r="124" spans="1:5" x14ac:dyDescent="0.25">
      <c r="A124">
        <v>618</v>
      </c>
      <c r="B124">
        <v>823</v>
      </c>
      <c r="C124">
        <v>823</v>
      </c>
      <c r="D124">
        <f>VLOOKUP(B124,Shipment_Details!A:G,7,FALSE)</f>
        <v>1031</v>
      </c>
      <c r="E124" t="str">
        <f>VLOOKUP(A124,Employee_Details!A:C,3,FALSE)</f>
        <v>Sales manager</v>
      </c>
    </row>
    <row r="125" spans="1:5" x14ac:dyDescent="0.25">
      <c r="A125">
        <v>768</v>
      </c>
      <c r="B125">
        <v>147</v>
      </c>
      <c r="C125">
        <v>147</v>
      </c>
      <c r="D125">
        <f>VLOOKUP(B125,Shipment_Details!A:G,7,FALSE)</f>
        <v>646</v>
      </c>
      <c r="E125" t="str">
        <f>VLOOKUP(A125,Employee_Details!A:C,3,FALSE)</f>
        <v>Transport manager</v>
      </c>
    </row>
    <row r="126" spans="1:5" x14ac:dyDescent="0.25">
      <c r="A126">
        <v>619</v>
      </c>
      <c r="B126">
        <v>625</v>
      </c>
      <c r="C126">
        <v>625</v>
      </c>
      <c r="D126">
        <f>VLOOKUP(B126,Shipment_Details!A:G,7,FALSE)</f>
        <v>980</v>
      </c>
      <c r="E126" t="str">
        <f>VLOOKUP(A126,Employee_Details!A:C,3,FALSE)</f>
        <v>Project director</v>
      </c>
    </row>
    <row r="127" spans="1:5" x14ac:dyDescent="0.25">
      <c r="A127">
        <v>393</v>
      </c>
      <c r="B127">
        <v>695</v>
      </c>
      <c r="C127">
        <v>695</v>
      </c>
      <c r="D127">
        <f>VLOOKUP(B127,Shipment_Details!A:G,7,FALSE)</f>
        <v>833</v>
      </c>
      <c r="E127" t="str">
        <f>VLOOKUP(A127,Employee_Details!A:C,3,FALSE)</f>
        <v>Sales manager</v>
      </c>
    </row>
    <row r="128" spans="1:5" x14ac:dyDescent="0.25">
      <c r="A128">
        <v>127</v>
      </c>
      <c r="B128">
        <v>983</v>
      </c>
      <c r="C128">
        <v>983</v>
      </c>
      <c r="D128">
        <f>VLOOKUP(B128,Shipment_Details!A:G,7,FALSE)</f>
        <v>166</v>
      </c>
      <c r="E128" t="str">
        <f>VLOOKUP(A128,Employee_Details!A:C,3,FALSE)</f>
        <v>Manager</v>
      </c>
    </row>
    <row r="129" spans="1:5" x14ac:dyDescent="0.25">
      <c r="A129">
        <v>329</v>
      </c>
      <c r="B129">
        <v>82</v>
      </c>
      <c r="C129">
        <v>82</v>
      </c>
      <c r="D129">
        <f>VLOOKUP(B129,Shipment_Details!A:G,7,FALSE)</f>
        <v>557</v>
      </c>
      <c r="E129" t="str">
        <f>VLOOKUP(A129,Employee_Details!A:C,3,FALSE)</f>
        <v>Fleet manager</v>
      </c>
    </row>
    <row r="130" spans="1:5" x14ac:dyDescent="0.25">
      <c r="A130">
        <v>839</v>
      </c>
      <c r="B130">
        <v>397</v>
      </c>
      <c r="C130">
        <v>397</v>
      </c>
      <c r="D130">
        <f>VLOOKUP(B130,Shipment_Details!A:G,7,FALSE)</f>
        <v>1045</v>
      </c>
      <c r="E130" t="str">
        <f>VLOOKUP(A130,Employee_Details!A:C,3,FALSE)</f>
        <v>Manager</v>
      </c>
    </row>
    <row r="131" spans="1:5" x14ac:dyDescent="0.25">
      <c r="A131">
        <v>787</v>
      </c>
      <c r="B131">
        <v>599</v>
      </c>
      <c r="C131">
        <v>599</v>
      </c>
      <c r="D131">
        <f>VLOOKUP(B131,Shipment_Details!A:G,7,FALSE)</f>
        <v>1100</v>
      </c>
      <c r="E131" t="str">
        <f>VLOOKUP(A131,Employee_Details!A:C,3,FALSE)</f>
        <v>IT support executive</v>
      </c>
    </row>
    <row r="132" spans="1:5" x14ac:dyDescent="0.25">
      <c r="A132">
        <v>658</v>
      </c>
      <c r="B132">
        <v>306</v>
      </c>
      <c r="C132">
        <v>306</v>
      </c>
      <c r="D132">
        <f>VLOOKUP(B132,Shipment_Details!A:G,7,FALSE)</f>
        <v>1150</v>
      </c>
      <c r="E132" t="str">
        <f>VLOOKUP(A132,Employee_Details!A:C,3,FALSE)</f>
        <v>Sales manager</v>
      </c>
    </row>
    <row r="133" spans="1:5" x14ac:dyDescent="0.25">
      <c r="A133">
        <v>302</v>
      </c>
      <c r="B133">
        <v>536</v>
      </c>
      <c r="C133">
        <v>536</v>
      </c>
      <c r="D133">
        <f>VLOOKUP(B133,Shipment_Details!A:G,7,FALSE)</f>
        <v>281</v>
      </c>
      <c r="E133" t="str">
        <f>VLOOKUP(A133,Employee_Details!A:C,3,FALSE)</f>
        <v>Fleet manager</v>
      </c>
    </row>
    <row r="134" spans="1:5" x14ac:dyDescent="0.25">
      <c r="A134">
        <v>959</v>
      </c>
      <c r="B134">
        <v>20</v>
      </c>
      <c r="C134">
        <v>20</v>
      </c>
      <c r="D134">
        <f>VLOOKUP(B134,Shipment_Details!A:G,7,FALSE)</f>
        <v>1062</v>
      </c>
      <c r="E134" t="str">
        <f>VLOOKUP(A134,Employee_Details!A:C,3,FALSE)</f>
        <v>Warehouse in charge</v>
      </c>
    </row>
    <row r="135" spans="1:5" x14ac:dyDescent="0.25">
      <c r="A135">
        <v>467</v>
      </c>
      <c r="B135">
        <v>515</v>
      </c>
      <c r="C135">
        <v>515</v>
      </c>
      <c r="D135">
        <f>VLOOKUP(B135,Shipment_Details!A:G,7,FALSE)</f>
        <v>1425</v>
      </c>
      <c r="E135" t="str">
        <f>VLOOKUP(A135,Employee_Details!A:C,3,FALSE)</f>
        <v>Project director</v>
      </c>
    </row>
    <row r="136" spans="1:5" x14ac:dyDescent="0.25">
      <c r="A136">
        <v>642</v>
      </c>
      <c r="B136">
        <v>332</v>
      </c>
      <c r="C136">
        <v>332</v>
      </c>
      <c r="D136">
        <f>VLOOKUP(B136,Shipment_Details!A:G,7,FALSE)</f>
        <v>39</v>
      </c>
      <c r="E136" t="str">
        <f>VLOOKUP(A136,Employee_Details!A:C,3,FALSE)</f>
        <v>Project director</v>
      </c>
    </row>
    <row r="137" spans="1:5" x14ac:dyDescent="0.25">
      <c r="A137">
        <v>472</v>
      </c>
      <c r="B137">
        <v>127</v>
      </c>
      <c r="C137">
        <v>127</v>
      </c>
      <c r="D137">
        <f>VLOOKUP(B137,Shipment_Details!A:G,7,FALSE)</f>
        <v>1143</v>
      </c>
      <c r="E137" t="str">
        <f>VLOOKUP(A137,Employee_Details!A:C,3,FALSE)</f>
        <v>Warehouse manager</v>
      </c>
    </row>
    <row r="138" spans="1:5" x14ac:dyDescent="0.25">
      <c r="A138">
        <v>700</v>
      </c>
      <c r="B138">
        <v>958</v>
      </c>
      <c r="C138">
        <v>958</v>
      </c>
      <c r="D138">
        <f>VLOOKUP(B138,Shipment_Details!A:G,7,FALSE)</f>
        <v>669</v>
      </c>
      <c r="E138" t="str">
        <f>VLOOKUP(A138,Employee_Details!A:C,3,FALSE)</f>
        <v>Non-executive director</v>
      </c>
    </row>
    <row r="139" spans="1:5" x14ac:dyDescent="0.25">
      <c r="A139">
        <v>305</v>
      </c>
      <c r="B139">
        <v>42</v>
      </c>
      <c r="C139">
        <v>42</v>
      </c>
      <c r="D139">
        <f>VLOOKUP(B139,Shipment_Details!A:G,7,FALSE)</f>
        <v>1134</v>
      </c>
      <c r="E139" t="str">
        <f>VLOOKUP(A139,Employee_Details!A:C,3,FALSE)</f>
        <v>Assistant manager</v>
      </c>
    </row>
    <row r="140" spans="1:5" x14ac:dyDescent="0.25">
      <c r="A140">
        <v>676</v>
      </c>
      <c r="B140">
        <v>977</v>
      </c>
      <c r="C140">
        <v>977</v>
      </c>
      <c r="D140">
        <f>VLOOKUP(B140,Shipment_Details!A:G,7,FALSE)</f>
        <v>558</v>
      </c>
      <c r="E140" t="str">
        <f>VLOOKUP(A140,Employee_Details!A:C,3,FALSE)</f>
        <v>HR manager</v>
      </c>
    </row>
    <row r="141" spans="1:5" x14ac:dyDescent="0.25">
      <c r="A141">
        <v>602</v>
      </c>
      <c r="B141">
        <v>460</v>
      </c>
      <c r="C141">
        <v>460</v>
      </c>
      <c r="D141">
        <f>VLOOKUP(B141,Shipment_Details!A:G,7,FALSE)</f>
        <v>1313</v>
      </c>
      <c r="E141" t="str">
        <f>VLOOKUP(A141,Employee_Details!A:C,3,FALSE)</f>
        <v>Chief executive officer</v>
      </c>
    </row>
    <row r="142" spans="1:5" x14ac:dyDescent="0.25">
      <c r="A142">
        <v>175</v>
      </c>
      <c r="B142">
        <v>659</v>
      </c>
      <c r="C142">
        <v>659</v>
      </c>
      <c r="D142">
        <f>VLOOKUP(B142,Shipment_Details!A:G,7,FALSE)</f>
        <v>595</v>
      </c>
      <c r="E142" t="str">
        <f>VLOOKUP(A142,Employee_Details!A:C,3,FALSE)</f>
        <v>Warehouse in charge</v>
      </c>
    </row>
    <row r="143" spans="1:5" x14ac:dyDescent="0.25">
      <c r="A143">
        <v>679</v>
      </c>
      <c r="B143">
        <v>197</v>
      </c>
      <c r="C143">
        <v>197</v>
      </c>
      <c r="D143">
        <f>VLOOKUP(B143,Shipment_Details!A:G,7,FALSE)</f>
        <v>360</v>
      </c>
      <c r="E143" t="str">
        <f>VLOOKUP(A143,Employee_Details!A:C,3,FALSE)</f>
        <v>Delivery Boy</v>
      </c>
    </row>
    <row r="144" spans="1:5" x14ac:dyDescent="0.25">
      <c r="A144">
        <v>412</v>
      </c>
      <c r="B144">
        <v>540</v>
      </c>
      <c r="C144">
        <v>540</v>
      </c>
      <c r="D144">
        <f>VLOOKUP(B144,Shipment_Details!A:G,7,FALSE)</f>
        <v>934</v>
      </c>
      <c r="E144" t="str">
        <f>VLOOKUP(A144,Employee_Details!A:C,3,FALSE)</f>
        <v>Project director</v>
      </c>
    </row>
    <row r="145" spans="1:5" x14ac:dyDescent="0.25">
      <c r="A145">
        <v>486</v>
      </c>
      <c r="B145">
        <v>178</v>
      </c>
      <c r="C145">
        <v>178</v>
      </c>
      <c r="D145">
        <f>VLOOKUP(B145,Shipment_Details!A:G,7,FALSE)</f>
        <v>1383</v>
      </c>
      <c r="E145" t="str">
        <f>VLOOKUP(A145,Employee_Details!A:C,3,FALSE)</f>
        <v>Delivery Boy</v>
      </c>
    </row>
    <row r="146" spans="1:5" x14ac:dyDescent="0.25">
      <c r="A146">
        <v>899</v>
      </c>
      <c r="B146">
        <v>202</v>
      </c>
      <c r="C146">
        <v>202</v>
      </c>
      <c r="D146">
        <f>VLOOKUP(B146,Shipment_Details!A:G,7,FALSE)</f>
        <v>1274</v>
      </c>
      <c r="E146" t="str">
        <f>VLOOKUP(A146,Employee_Details!A:C,3,FALSE)</f>
        <v>Manager</v>
      </c>
    </row>
    <row r="147" spans="1:5" x14ac:dyDescent="0.25">
      <c r="A147">
        <v>123</v>
      </c>
      <c r="B147">
        <v>632</v>
      </c>
      <c r="C147">
        <v>632</v>
      </c>
      <c r="D147">
        <f>VLOOKUP(B147,Shipment_Details!A:G,7,FALSE)</f>
        <v>193</v>
      </c>
      <c r="E147" t="str">
        <f>VLOOKUP(A147,Employee_Details!A:C,3,FALSE)</f>
        <v>Warehouse in charge</v>
      </c>
    </row>
    <row r="148" spans="1:5" x14ac:dyDescent="0.25">
      <c r="A148">
        <v>180</v>
      </c>
      <c r="B148">
        <v>25</v>
      </c>
      <c r="C148">
        <v>25</v>
      </c>
      <c r="D148">
        <f>VLOOKUP(B148,Shipment_Details!A:G,7,FALSE)</f>
        <v>702</v>
      </c>
      <c r="E148" t="str">
        <f>VLOOKUP(A148,Employee_Details!A:C,3,FALSE)</f>
        <v>Warehouse in charge</v>
      </c>
    </row>
    <row r="149" spans="1:5" x14ac:dyDescent="0.25">
      <c r="A149">
        <v>433</v>
      </c>
      <c r="B149">
        <v>990</v>
      </c>
      <c r="C149">
        <v>990</v>
      </c>
      <c r="D149">
        <f>VLOOKUP(B149,Shipment_Details!A:G,7,FALSE)</f>
        <v>646</v>
      </c>
      <c r="E149" t="str">
        <f>VLOOKUP(A149,Employee_Details!A:C,3,FALSE)</f>
        <v>Warehouse manager</v>
      </c>
    </row>
    <row r="150" spans="1:5" x14ac:dyDescent="0.25">
      <c r="A150">
        <v>244</v>
      </c>
      <c r="B150">
        <v>913</v>
      </c>
      <c r="C150">
        <v>913</v>
      </c>
      <c r="D150">
        <f>VLOOKUP(B150,Shipment_Details!A:G,7,FALSE)</f>
        <v>755</v>
      </c>
      <c r="E150" t="str">
        <f>VLOOKUP(A150,Employee_Details!A:C,3,FALSE)</f>
        <v>Warehouse manager</v>
      </c>
    </row>
    <row r="151" spans="1:5" x14ac:dyDescent="0.25">
      <c r="A151">
        <v>147</v>
      </c>
      <c r="B151">
        <v>371</v>
      </c>
      <c r="C151">
        <v>371</v>
      </c>
      <c r="D151">
        <f>VLOOKUP(B151,Shipment_Details!A:G,7,FALSE)</f>
        <v>990</v>
      </c>
      <c r="E151" t="str">
        <f>VLOOKUP(A151,Employee_Details!A:C,3,FALSE)</f>
        <v>Inventory manager</v>
      </c>
    </row>
    <row r="152" spans="1:5" x14ac:dyDescent="0.25">
      <c r="A152">
        <v>634</v>
      </c>
      <c r="B152">
        <v>514</v>
      </c>
      <c r="C152">
        <v>514</v>
      </c>
      <c r="D152">
        <f>VLOOKUP(B152,Shipment_Details!A:G,7,FALSE)</f>
        <v>965</v>
      </c>
      <c r="E152" t="str">
        <f>VLOOKUP(A152,Employee_Details!A:C,3,FALSE)</f>
        <v>Project director</v>
      </c>
    </row>
    <row r="153" spans="1:5" x14ac:dyDescent="0.25">
      <c r="A153">
        <v>999</v>
      </c>
      <c r="B153">
        <v>707</v>
      </c>
      <c r="C153">
        <v>707</v>
      </c>
      <c r="D153">
        <f>VLOOKUP(B153,Shipment_Details!A:G,7,FALSE)</f>
        <v>931</v>
      </c>
      <c r="E153" t="str">
        <f>VLOOKUP(A153,Employee_Details!A:C,3,FALSE)</f>
        <v>IT support executive</v>
      </c>
    </row>
    <row r="154" spans="1:5" x14ac:dyDescent="0.25">
      <c r="A154">
        <v>477</v>
      </c>
      <c r="B154">
        <v>473</v>
      </c>
      <c r="C154">
        <v>473</v>
      </c>
      <c r="D154">
        <f>VLOOKUP(B154,Shipment_Details!A:G,7,FALSE)</f>
        <v>361</v>
      </c>
      <c r="E154" t="str">
        <f>VLOOKUP(A154,Employee_Details!A:C,3,FALSE)</f>
        <v>IT support executive</v>
      </c>
    </row>
    <row r="155" spans="1:5" x14ac:dyDescent="0.25">
      <c r="A155">
        <v>746</v>
      </c>
      <c r="B155">
        <v>847</v>
      </c>
      <c r="C155">
        <v>847</v>
      </c>
      <c r="D155">
        <f>VLOOKUP(B155,Shipment_Details!A:G,7,FALSE)</f>
        <v>1297</v>
      </c>
      <c r="E155" t="str">
        <f>VLOOKUP(A155,Employee_Details!A:C,3,FALSE)</f>
        <v>Engineering department manager</v>
      </c>
    </row>
    <row r="156" spans="1:5" x14ac:dyDescent="0.25">
      <c r="A156">
        <v>287</v>
      </c>
      <c r="B156">
        <v>815</v>
      </c>
      <c r="C156">
        <v>815</v>
      </c>
      <c r="D156">
        <f>VLOOKUP(B156,Shipment_Details!A:G,7,FALSE)</f>
        <v>130</v>
      </c>
      <c r="E156" t="str">
        <f>VLOOKUP(A156,Employee_Details!A:C,3,FALSE)</f>
        <v>Delivery Boy</v>
      </c>
    </row>
    <row r="157" spans="1:5" x14ac:dyDescent="0.25">
      <c r="A157">
        <v>310</v>
      </c>
      <c r="B157">
        <v>928</v>
      </c>
      <c r="C157">
        <v>928</v>
      </c>
      <c r="D157">
        <f>VLOOKUP(B157,Shipment_Details!A:G,7,FALSE)</f>
        <v>904</v>
      </c>
      <c r="E157" t="str">
        <f>VLOOKUP(A157,Employee_Details!A:C,3,FALSE)</f>
        <v>Executive director</v>
      </c>
    </row>
    <row r="158" spans="1:5" x14ac:dyDescent="0.25">
      <c r="A158">
        <v>889</v>
      </c>
      <c r="B158">
        <v>210</v>
      </c>
      <c r="C158">
        <v>210</v>
      </c>
      <c r="D158">
        <f>VLOOKUP(B158,Shipment_Details!A:G,7,FALSE)</f>
        <v>1433</v>
      </c>
      <c r="E158" t="str">
        <f>VLOOKUP(A158,Employee_Details!A:C,3,FALSE)</f>
        <v>Warehouse manager</v>
      </c>
    </row>
    <row r="159" spans="1:5" x14ac:dyDescent="0.25">
      <c r="A159">
        <v>512</v>
      </c>
      <c r="B159">
        <v>793</v>
      </c>
      <c r="C159">
        <v>793</v>
      </c>
      <c r="D159">
        <f>VLOOKUP(B159,Shipment_Details!A:G,7,FALSE)</f>
        <v>835</v>
      </c>
      <c r="E159" t="str">
        <f>VLOOKUP(A159,Employee_Details!A:C,3,FALSE)</f>
        <v>Office manager</v>
      </c>
    </row>
    <row r="160" spans="1:5" x14ac:dyDescent="0.25">
      <c r="A160">
        <v>693</v>
      </c>
      <c r="B160">
        <v>872</v>
      </c>
      <c r="C160">
        <v>872</v>
      </c>
      <c r="D160">
        <f>VLOOKUP(B160,Shipment_Details!A:G,7,FALSE)</f>
        <v>242</v>
      </c>
      <c r="E160" t="str">
        <f>VLOOKUP(A160,Employee_Details!A:C,3,FALSE)</f>
        <v>Branch manager</v>
      </c>
    </row>
    <row r="161" spans="1:5" x14ac:dyDescent="0.25">
      <c r="A161">
        <v>670</v>
      </c>
      <c r="B161">
        <v>298</v>
      </c>
      <c r="C161">
        <v>298</v>
      </c>
      <c r="D161">
        <f>VLOOKUP(B161,Shipment_Details!A:G,7,FALSE)</f>
        <v>1297</v>
      </c>
      <c r="E161" t="str">
        <f>VLOOKUP(A161,Employee_Details!A:C,3,FALSE)</f>
        <v>Warehouse in charge</v>
      </c>
    </row>
    <row r="162" spans="1:5" x14ac:dyDescent="0.25">
      <c r="A162">
        <v>238</v>
      </c>
      <c r="B162">
        <v>941</v>
      </c>
      <c r="C162">
        <v>941</v>
      </c>
      <c r="D162">
        <f>VLOOKUP(B162,Shipment_Details!A:G,7,FALSE)</f>
        <v>1181</v>
      </c>
      <c r="E162" t="str">
        <f>VLOOKUP(A162,Employee_Details!A:C,3,FALSE)</f>
        <v>HR manager</v>
      </c>
    </row>
    <row r="163" spans="1:5" x14ac:dyDescent="0.25">
      <c r="A163">
        <v>400</v>
      </c>
      <c r="B163">
        <v>731</v>
      </c>
      <c r="C163">
        <v>731</v>
      </c>
      <c r="D163">
        <f>VLOOKUP(B163,Shipment_Details!A:G,7,FALSE)</f>
        <v>1242</v>
      </c>
      <c r="E163" t="str">
        <f>VLOOKUP(A163,Employee_Details!A:C,3,FALSE)</f>
        <v>HR manager</v>
      </c>
    </row>
    <row r="164" spans="1:5" x14ac:dyDescent="0.25">
      <c r="A164">
        <v>398</v>
      </c>
      <c r="B164">
        <v>500</v>
      </c>
      <c r="C164">
        <v>500</v>
      </c>
      <c r="D164">
        <f>VLOOKUP(B164,Shipment_Details!A:G,7,FALSE)</f>
        <v>236</v>
      </c>
      <c r="E164" t="str">
        <f>VLOOKUP(A164,Employee_Details!A:C,3,FALSE)</f>
        <v>Fleet manager</v>
      </c>
    </row>
    <row r="165" spans="1:5" x14ac:dyDescent="0.25">
      <c r="A165">
        <v>955</v>
      </c>
      <c r="B165">
        <v>142</v>
      </c>
      <c r="C165">
        <v>142</v>
      </c>
      <c r="D165">
        <f>VLOOKUP(B165,Shipment_Details!A:G,7,FALSE)</f>
        <v>1171</v>
      </c>
      <c r="E165" t="str">
        <f>VLOOKUP(A165,Employee_Details!A:C,3,FALSE)</f>
        <v>Delivery Boy</v>
      </c>
    </row>
    <row r="166" spans="1:5" x14ac:dyDescent="0.25">
      <c r="A166">
        <v>193</v>
      </c>
      <c r="B166">
        <v>787</v>
      </c>
      <c r="C166">
        <v>787</v>
      </c>
      <c r="D166">
        <f>VLOOKUP(B166,Shipment_Details!A:G,7,FALSE)</f>
        <v>864</v>
      </c>
      <c r="E166" t="str">
        <f>VLOOKUP(A166,Employee_Details!A:C,3,FALSE)</f>
        <v>Warehouse manager</v>
      </c>
    </row>
    <row r="167" spans="1:5" x14ac:dyDescent="0.25">
      <c r="A167">
        <v>33</v>
      </c>
      <c r="B167">
        <v>749</v>
      </c>
      <c r="C167">
        <v>749</v>
      </c>
      <c r="D167">
        <f>VLOOKUP(B167,Shipment_Details!A:G,7,FALSE)</f>
        <v>875</v>
      </c>
      <c r="E167" t="str">
        <f>VLOOKUP(A167,Employee_Details!A:C,3,FALSE)</f>
        <v>Engineering department manager</v>
      </c>
    </row>
    <row r="168" spans="1:5" x14ac:dyDescent="0.25">
      <c r="A168">
        <v>786</v>
      </c>
      <c r="B168">
        <v>304</v>
      </c>
      <c r="C168">
        <v>304</v>
      </c>
      <c r="D168">
        <f>VLOOKUP(B168,Shipment_Details!A:G,7,FALSE)</f>
        <v>1172</v>
      </c>
      <c r="E168" t="str">
        <f>VLOOKUP(A168,Employee_Details!A:C,3,FALSE)</f>
        <v>Block development manager</v>
      </c>
    </row>
    <row r="169" spans="1:5" x14ac:dyDescent="0.25">
      <c r="A169">
        <v>811</v>
      </c>
      <c r="B169">
        <v>30</v>
      </c>
      <c r="C169">
        <v>30</v>
      </c>
      <c r="D169">
        <f>VLOOKUP(B169,Shipment_Details!A:G,7,FALSE)</f>
        <v>1422</v>
      </c>
      <c r="E169" t="str">
        <f>VLOOKUP(A169,Employee_Details!A:C,3,FALSE)</f>
        <v>Transport manager</v>
      </c>
    </row>
    <row r="170" spans="1:5" x14ac:dyDescent="0.25">
      <c r="A170">
        <v>615</v>
      </c>
      <c r="B170">
        <v>477</v>
      </c>
      <c r="C170">
        <v>477</v>
      </c>
      <c r="D170">
        <f>VLOOKUP(B170,Shipment_Details!A:G,7,FALSE)</f>
        <v>1061</v>
      </c>
      <c r="E170" t="str">
        <f>VLOOKUP(A170,Employee_Details!A:C,3,FALSE)</f>
        <v>Delivery Boy</v>
      </c>
    </row>
    <row r="171" spans="1:5" x14ac:dyDescent="0.25">
      <c r="A171">
        <v>18</v>
      </c>
      <c r="B171">
        <v>52</v>
      </c>
      <c r="C171">
        <v>52</v>
      </c>
      <c r="D171">
        <f>VLOOKUP(B171,Shipment_Details!A:G,7,FALSE)</f>
        <v>1199</v>
      </c>
      <c r="E171" t="str">
        <f>VLOOKUP(A171,Employee_Details!A:C,3,FALSE)</f>
        <v>Project director</v>
      </c>
    </row>
    <row r="172" spans="1:5" x14ac:dyDescent="0.25">
      <c r="A172">
        <v>114</v>
      </c>
      <c r="B172">
        <v>73</v>
      </c>
      <c r="C172">
        <v>73</v>
      </c>
      <c r="D172">
        <f>VLOOKUP(B172,Shipment_Details!A:G,7,FALSE)</f>
        <v>937</v>
      </c>
      <c r="E172" t="str">
        <f>VLOOKUP(A172,Employee_Details!A:C,3,FALSE)</f>
        <v>Warehouse manager</v>
      </c>
    </row>
    <row r="173" spans="1:5" x14ac:dyDescent="0.25">
      <c r="A173">
        <v>340</v>
      </c>
      <c r="B173">
        <v>691</v>
      </c>
      <c r="C173">
        <v>691</v>
      </c>
      <c r="D173">
        <f>VLOOKUP(B173,Shipment_Details!A:G,7,FALSE)</f>
        <v>1369</v>
      </c>
      <c r="E173" t="str">
        <f>VLOOKUP(A173,Employee_Details!A:C,3,FALSE)</f>
        <v>Office manager</v>
      </c>
    </row>
    <row r="174" spans="1:5" x14ac:dyDescent="0.25">
      <c r="A174">
        <v>649</v>
      </c>
      <c r="B174">
        <v>786</v>
      </c>
      <c r="C174">
        <v>786</v>
      </c>
      <c r="D174">
        <f>VLOOKUP(B174,Shipment_Details!A:G,7,FALSE)</f>
        <v>679</v>
      </c>
      <c r="E174" t="str">
        <f>VLOOKUP(A174,Employee_Details!A:C,3,FALSE)</f>
        <v>Chief finance officer</v>
      </c>
    </row>
    <row r="175" spans="1:5" x14ac:dyDescent="0.25">
      <c r="A175">
        <v>778</v>
      </c>
      <c r="B175">
        <v>68</v>
      </c>
      <c r="C175">
        <v>68</v>
      </c>
      <c r="D175">
        <f>VLOOKUP(B175,Shipment_Details!A:G,7,FALSE)</f>
        <v>726</v>
      </c>
      <c r="E175" t="str">
        <f>VLOOKUP(A175,Employee_Details!A:C,3,FALSE)</f>
        <v>Market analyst</v>
      </c>
    </row>
    <row r="176" spans="1:5" x14ac:dyDescent="0.25">
      <c r="A176">
        <v>885</v>
      </c>
      <c r="B176">
        <v>630</v>
      </c>
      <c r="C176">
        <v>630</v>
      </c>
      <c r="D176">
        <f>VLOOKUP(B176,Shipment_Details!A:G,7,FALSE)</f>
        <v>1320</v>
      </c>
      <c r="E176" t="str">
        <f>VLOOKUP(A176,Employee_Details!A:C,3,FALSE)</f>
        <v>Head of marketing</v>
      </c>
    </row>
    <row r="177" spans="1:5" x14ac:dyDescent="0.25">
      <c r="A177">
        <v>69</v>
      </c>
      <c r="B177">
        <v>357</v>
      </c>
      <c r="C177">
        <v>357</v>
      </c>
      <c r="D177">
        <f>VLOOKUP(B177,Shipment_Details!A:G,7,FALSE)</f>
        <v>1113</v>
      </c>
      <c r="E177" t="str">
        <f>VLOOKUP(A177,Employee_Details!A:C,3,FALSE)</f>
        <v>Market analyst</v>
      </c>
    </row>
    <row r="178" spans="1:5" x14ac:dyDescent="0.25">
      <c r="A178">
        <v>288</v>
      </c>
      <c r="B178">
        <v>455</v>
      </c>
      <c r="C178">
        <v>455</v>
      </c>
      <c r="D178">
        <f>VLOOKUP(B178,Shipment_Details!A:G,7,FALSE)</f>
        <v>580</v>
      </c>
      <c r="E178" t="str">
        <f>VLOOKUP(A178,Employee_Details!A:C,3,FALSE)</f>
        <v>Technical support executive</v>
      </c>
    </row>
    <row r="179" spans="1:5" x14ac:dyDescent="0.25">
      <c r="A179">
        <v>898</v>
      </c>
      <c r="B179">
        <v>947</v>
      </c>
      <c r="C179">
        <v>947</v>
      </c>
      <c r="D179">
        <f>VLOOKUP(B179,Shipment_Details!A:G,7,FALSE)</f>
        <v>1257</v>
      </c>
      <c r="E179" t="str">
        <f>VLOOKUP(A179,Employee_Details!A:C,3,FALSE)</f>
        <v>IT support executive</v>
      </c>
    </row>
    <row r="180" spans="1:5" x14ac:dyDescent="0.25">
      <c r="A180">
        <v>473</v>
      </c>
      <c r="B180">
        <v>589</v>
      </c>
      <c r="C180">
        <v>589</v>
      </c>
      <c r="D180">
        <f>VLOOKUP(B180,Shipment_Details!A:G,7,FALSE)</f>
        <v>1084</v>
      </c>
      <c r="E180" t="str">
        <f>VLOOKUP(A180,Employee_Details!A:C,3,FALSE)</f>
        <v>Inventory manager</v>
      </c>
    </row>
    <row r="181" spans="1:5" x14ac:dyDescent="0.25">
      <c r="A181">
        <v>23</v>
      </c>
      <c r="B181">
        <v>863</v>
      </c>
      <c r="C181">
        <v>863</v>
      </c>
      <c r="D181">
        <f>VLOOKUP(B181,Shipment_Details!A:G,7,FALSE)</f>
        <v>872</v>
      </c>
      <c r="E181" t="str">
        <f>VLOOKUP(A181,Employee_Details!A:C,3,FALSE)</f>
        <v>In House logistics executive</v>
      </c>
    </row>
    <row r="182" spans="1:5" x14ac:dyDescent="0.25">
      <c r="A182">
        <v>505</v>
      </c>
      <c r="B182">
        <v>668</v>
      </c>
      <c r="C182">
        <v>668</v>
      </c>
      <c r="D182">
        <f>VLOOKUP(B182,Shipment_Details!A:G,7,FALSE)</f>
        <v>1067</v>
      </c>
      <c r="E182" t="str">
        <f>VLOOKUP(A182,Employee_Details!A:C,3,FALSE)</f>
        <v>Material handling executive</v>
      </c>
    </row>
    <row r="183" spans="1:5" x14ac:dyDescent="0.25">
      <c r="A183">
        <v>401</v>
      </c>
      <c r="B183">
        <v>206</v>
      </c>
      <c r="C183">
        <v>206</v>
      </c>
      <c r="D183">
        <f>VLOOKUP(B183,Shipment_Details!A:G,7,FALSE)</f>
        <v>1251</v>
      </c>
      <c r="E183" t="str">
        <f>VLOOKUP(A183,Employee_Details!A:C,3,FALSE)</f>
        <v>Transport manager</v>
      </c>
    </row>
    <row r="184" spans="1:5" x14ac:dyDescent="0.25">
      <c r="A184">
        <v>988</v>
      </c>
      <c r="B184">
        <v>835</v>
      </c>
      <c r="C184">
        <v>835</v>
      </c>
      <c r="D184">
        <f>VLOOKUP(B184,Shipment_Details!A:G,7,FALSE)</f>
        <v>1314</v>
      </c>
      <c r="E184" t="str">
        <f>VLOOKUP(A184,Employee_Details!A:C,3,FALSE)</f>
        <v>Non-executive director</v>
      </c>
    </row>
    <row r="185" spans="1:5" x14ac:dyDescent="0.25">
      <c r="A185">
        <v>493</v>
      </c>
      <c r="B185">
        <v>315</v>
      </c>
      <c r="C185">
        <v>315</v>
      </c>
      <c r="D185">
        <f>VLOOKUP(B185,Shipment_Details!A:G,7,FALSE)</f>
        <v>638</v>
      </c>
      <c r="E185" t="str">
        <f>VLOOKUP(A185,Employee_Details!A:C,3,FALSE)</f>
        <v>Transport manager</v>
      </c>
    </row>
    <row r="186" spans="1:5" x14ac:dyDescent="0.25">
      <c r="A186">
        <v>432</v>
      </c>
      <c r="B186">
        <v>553</v>
      </c>
      <c r="C186">
        <v>553</v>
      </c>
      <c r="D186">
        <f>VLOOKUP(B186,Shipment_Details!A:G,7,FALSE)</f>
        <v>611</v>
      </c>
      <c r="E186" t="str">
        <f>VLOOKUP(A186,Employee_Details!A:C,3,FALSE)</f>
        <v>Chief finance officer</v>
      </c>
    </row>
    <row r="187" spans="1:5" x14ac:dyDescent="0.25">
      <c r="A187">
        <v>948</v>
      </c>
      <c r="B187">
        <v>861</v>
      </c>
      <c r="C187">
        <v>861</v>
      </c>
      <c r="D187">
        <f>VLOOKUP(B187,Shipment_Details!A:G,7,FALSE)</f>
        <v>1255</v>
      </c>
      <c r="E187" t="str">
        <f>VLOOKUP(A187,Employee_Details!A:C,3,FALSE)</f>
        <v>Chief finance officer</v>
      </c>
    </row>
    <row r="188" spans="1:5" x14ac:dyDescent="0.25">
      <c r="A188">
        <v>821</v>
      </c>
      <c r="B188">
        <v>279</v>
      </c>
      <c r="C188">
        <v>279</v>
      </c>
      <c r="D188">
        <f>VLOOKUP(B188,Shipment_Details!A:G,7,FALSE)</f>
        <v>464</v>
      </c>
      <c r="E188" t="str">
        <f>VLOOKUP(A188,Employee_Details!A:C,3,FALSE)</f>
        <v>Technical support executive</v>
      </c>
    </row>
    <row r="189" spans="1:5" x14ac:dyDescent="0.25">
      <c r="A189">
        <v>435</v>
      </c>
      <c r="B189">
        <v>75</v>
      </c>
      <c r="C189">
        <v>75</v>
      </c>
      <c r="D189">
        <f>VLOOKUP(B189,Shipment_Details!A:G,7,FALSE)</f>
        <v>1317</v>
      </c>
      <c r="E189" t="str">
        <f>VLOOKUP(A189,Employee_Details!A:C,3,FALSE)</f>
        <v>Sales manager</v>
      </c>
    </row>
    <row r="190" spans="1:5" x14ac:dyDescent="0.25">
      <c r="A190">
        <v>11</v>
      </c>
      <c r="B190">
        <v>895</v>
      </c>
      <c r="C190">
        <v>895</v>
      </c>
      <c r="D190">
        <f>VLOOKUP(B190,Shipment_Details!A:G,7,FALSE)</f>
        <v>704</v>
      </c>
      <c r="E190" t="str">
        <f>VLOOKUP(A190,Employee_Details!A:C,3,FALSE)</f>
        <v>Manager</v>
      </c>
    </row>
    <row r="191" spans="1:5" x14ac:dyDescent="0.25">
      <c r="A191">
        <v>204</v>
      </c>
      <c r="B191">
        <v>866</v>
      </c>
      <c r="C191">
        <v>866</v>
      </c>
      <c r="D191">
        <f>VLOOKUP(B191,Shipment_Details!A:G,7,FALSE)</f>
        <v>1260</v>
      </c>
      <c r="E191" t="str">
        <f>VLOOKUP(A191,Employee_Details!A:C,3,FALSE)</f>
        <v>Office manager</v>
      </c>
    </row>
    <row r="192" spans="1:5" x14ac:dyDescent="0.25">
      <c r="A192">
        <v>332</v>
      </c>
      <c r="B192">
        <v>792</v>
      </c>
      <c r="C192">
        <v>792</v>
      </c>
      <c r="D192">
        <f>VLOOKUP(B192,Shipment_Details!A:G,7,FALSE)</f>
        <v>1257</v>
      </c>
      <c r="E192" t="str">
        <f>VLOOKUP(A192,Employee_Details!A:C,3,FALSE)</f>
        <v>HR manager</v>
      </c>
    </row>
    <row r="193" spans="1:5" x14ac:dyDescent="0.25">
      <c r="A193">
        <v>179</v>
      </c>
      <c r="B193">
        <v>191</v>
      </c>
      <c r="C193">
        <v>191</v>
      </c>
      <c r="D193">
        <f>VLOOKUP(B193,Shipment_Details!A:G,7,FALSE)</f>
        <v>1382</v>
      </c>
      <c r="E193" t="str">
        <f>VLOOKUP(A193,Employee_Details!A:C,3,FALSE)</f>
        <v>Head of marketing</v>
      </c>
    </row>
    <row r="194" spans="1:5" x14ac:dyDescent="0.25">
      <c r="A194">
        <v>503</v>
      </c>
      <c r="B194">
        <v>59</v>
      </c>
      <c r="C194">
        <v>59</v>
      </c>
      <c r="D194">
        <f>VLOOKUP(B194,Shipment_Details!A:G,7,FALSE)</f>
        <v>977</v>
      </c>
      <c r="E194" t="str">
        <f>VLOOKUP(A194,Employee_Details!A:C,3,FALSE)</f>
        <v>Office manager</v>
      </c>
    </row>
    <row r="195" spans="1:5" x14ac:dyDescent="0.25">
      <c r="A195">
        <v>431</v>
      </c>
      <c r="B195">
        <v>748</v>
      </c>
      <c r="C195">
        <v>748</v>
      </c>
      <c r="D195">
        <f>VLOOKUP(B195,Shipment_Details!A:G,7,FALSE)</f>
        <v>1048</v>
      </c>
      <c r="E195" t="str">
        <f>VLOOKUP(A195,Employee_Details!A:C,3,FALSE)</f>
        <v>Marketing manager</v>
      </c>
    </row>
    <row r="196" spans="1:5" x14ac:dyDescent="0.25">
      <c r="A196">
        <v>865</v>
      </c>
      <c r="B196">
        <v>693</v>
      </c>
      <c r="C196">
        <v>693</v>
      </c>
      <c r="D196">
        <f>VLOOKUP(B196,Shipment_Details!A:G,7,FALSE)</f>
        <v>1271</v>
      </c>
      <c r="E196" t="str">
        <f>VLOOKUP(A196,Employee_Details!A:C,3,FALSE)</f>
        <v>Office manager</v>
      </c>
    </row>
    <row r="197" spans="1:5" x14ac:dyDescent="0.25">
      <c r="A197">
        <v>874</v>
      </c>
      <c r="B197">
        <v>955</v>
      </c>
      <c r="C197">
        <v>955</v>
      </c>
      <c r="D197">
        <f>VLOOKUP(B197,Shipment_Details!A:G,7,FALSE)</f>
        <v>1007</v>
      </c>
      <c r="E197" t="str">
        <f>VLOOKUP(A197,Employee_Details!A:C,3,FALSE)</f>
        <v>IT support executive</v>
      </c>
    </row>
    <row r="198" spans="1:5" x14ac:dyDescent="0.25">
      <c r="A198">
        <v>513</v>
      </c>
      <c r="B198">
        <v>538</v>
      </c>
      <c r="C198">
        <v>538</v>
      </c>
      <c r="D198">
        <f>VLOOKUP(B198,Shipment_Details!A:G,7,FALSE)</f>
        <v>863</v>
      </c>
      <c r="E198" t="str">
        <f>VLOOKUP(A198,Employee_Details!A:C,3,FALSE)</f>
        <v>Block development manager</v>
      </c>
    </row>
    <row r="199" spans="1:5" x14ac:dyDescent="0.25">
      <c r="A199">
        <v>814</v>
      </c>
      <c r="B199">
        <v>169</v>
      </c>
      <c r="C199">
        <v>169</v>
      </c>
      <c r="D199">
        <f>VLOOKUP(B199,Shipment_Details!A:G,7,FALSE)</f>
        <v>1077</v>
      </c>
      <c r="E199" t="str">
        <f>VLOOKUP(A199,Employee_Details!A:C,3,FALSE)</f>
        <v>Director</v>
      </c>
    </row>
    <row r="200" spans="1:5" x14ac:dyDescent="0.25">
      <c r="A200">
        <v>236</v>
      </c>
      <c r="B200">
        <v>924</v>
      </c>
      <c r="C200">
        <v>924</v>
      </c>
      <c r="D200">
        <f>VLOOKUP(B200,Shipment_Details!A:G,7,FALSE)</f>
        <v>1021</v>
      </c>
      <c r="E200" t="str">
        <f>VLOOKUP(A200,Employee_Details!A:C,3,FALSE)</f>
        <v>Delivery Boy</v>
      </c>
    </row>
    <row r="201" spans="1:5" x14ac:dyDescent="0.25">
      <c r="A201">
        <v>957</v>
      </c>
      <c r="B201">
        <v>579</v>
      </c>
      <c r="C201">
        <v>579</v>
      </c>
      <c r="D201">
        <f>VLOOKUP(B201,Shipment_Details!A:G,7,FALSE)</f>
        <v>1385</v>
      </c>
      <c r="E201" t="str">
        <f>VLOOKUP(A201,Employee_Details!A:C,3,FALSE)</f>
        <v>IT support executive</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5A88D-0D6C-4463-A49D-564292430B38}">
  <dimension ref="A1:L201"/>
  <sheetViews>
    <sheetView topLeftCell="D22" workbookViewId="0">
      <selection activeCell="I2" sqref="I2"/>
    </sheetView>
  </sheetViews>
  <sheetFormatPr defaultRowHeight="15" x14ac:dyDescent="0.25"/>
  <cols>
    <col min="1" max="1" width="7.28515625" bestFit="1" customWidth="1"/>
    <col min="2" max="2" width="10.85546875" bestFit="1" customWidth="1"/>
    <col min="3" max="3" width="30.85546875" bestFit="1" customWidth="1"/>
    <col min="4" max="4" width="39.42578125" bestFit="1" customWidth="1"/>
    <col min="5" max="5" width="13.140625" bestFit="1" customWidth="1"/>
    <col min="6" max="6" width="14.28515625" bestFit="1" customWidth="1"/>
    <col min="9" max="9" width="12.140625" bestFit="1" customWidth="1"/>
    <col min="10" max="10" width="14.42578125" bestFit="1" customWidth="1"/>
    <col min="11" max="11" width="15.85546875" customWidth="1"/>
  </cols>
  <sheetData>
    <row r="1" spans="1:12" x14ac:dyDescent="0.25">
      <c r="A1" t="s">
        <v>576</v>
      </c>
      <c r="B1" t="s">
        <v>577</v>
      </c>
      <c r="C1" t="s">
        <v>578</v>
      </c>
      <c r="D1" t="s">
        <v>579</v>
      </c>
      <c r="E1" t="s">
        <v>580</v>
      </c>
      <c r="F1" t="s">
        <v>581</v>
      </c>
      <c r="I1" t="s">
        <v>1541</v>
      </c>
      <c r="J1" t="s">
        <v>1542</v>
      </c>
      <c r="K1" t="s">
        <v>1543</v>
      </c>
      <c r="L1" t="s">
        <v>1544</v>
      </c>
    </row>
    <row r="2" spans="1:12" x14ac:dyDescent="0.25">
      <c r="A2">
        <v>582</v>
      </c>
      <c r="B2" t="s">
        <v>582</v>
      </c>
      <c r="C2" t="s">
        <v>583</v>
      </c>
      <c r="D2" t="s">
        <v>584</v>
      </c>
      <c r="E2" t="s">
        <v>585</v>
      </c>
      <c r="F2">
        <v>2754220306</v>
      </c>
      <c r="I2">
        <v>295</v>
      </c>
      <c r="J2" t="str">
        <f>VLOOKUP(I2,$A$2:$F$201,2,FALSE)</f>
        <v>Kelli</v>
      </c>
      <c r="K2" t="str">
        <f>VLOOKUP(I2,$A$2:$F$201,3,FALSE)</f>
        <v>Non-executive director</v>
      </c>
      <c r="L2" t="str">
        <f>VLOOKUP(I2,$A$2:$F$201,5,FALSE)</f>
        <v>OH</v>
      </c>
    </row>
    <row r="3" spans="1:12" x14ac:dyDescent="0.25">
      <c r="A3">
        <v>396</v>
      </c>
      <c r="B3" t="s">
        <v>73</v>
      </c>
      <c r="C3" t="s">
        <v>586</v>
      </c>
      <c r="D3" t="s">
        <v>587</v>
      </c>
      <c r="E3" t="s">
        <v>588</v>
      </c>
      <c r="F3">
        <v>4171197971</v>
      </c>
    </row>
    <row r="4" spans="1:12" x14ac:dyDescent="0.25">
      <c r="A4">
        <v>545</v>
      </c>
      <c r="B4" t="s">
        <v>589</v>
      </c>
      <c r="C4" t="s">
        <v>590</v>
      </c>
      <c r="D4" t="s">
        <v>21</v>
      </c>
      <c r="E4" t="s">
        <v>591</v>
      </c>
      <c r="F4">
        <v>8354987185</v>
      </c>
    </row>
    <row r="5" spans="1:12" x14ac:dyDescent="0.25">
      <c r="A5">
        <v>770</v>
      </c>
      <c r="B5" t="s">
        <v>430</v>
      </c>
      <c r="C5" t="s">
        <v>592</v>
      </c>
      <c r="D5" t="s">
        <v>593</v>
      </c>
      <c r="E5" t="s">
        <v>594</v>
      </c>
      <c r="F5">
        <v>6348759218</v>
      </c>
    </row>
    <row r="6" spans="1:12" x14ac:dyDescent="0.25">
      <c r="A6">
        <v>991</v>
      </c>
      <c r="B6" t="s">
        <v>595</v>
      </c>
      <c r="C6" t="s">
        <v>596</v>
      </c>
      <c r="D6" t="s">
        <v>597</v>
      </c>
      <c r="E6" t="s">
        <v>598</v>
      </c>
      <c r="F6">
        <v>5096424869</v>
      </c>
    </row>
    <row r="7" spans="1:12" x14ac:dyDescent="0.25">
      <c r="A7">
        <v>437</v>
      </c>
      <c r="B7" t="s">
        <v>599</v>
      </c>
      <c r="C7" t="s">
        <v>600</v>
      </c>
      <c r="D7" t="s">
        <v>601</v>
      </c>
      <c r="E7" t="s">
        <v>602</v>
      </c>
      <c r="F7">
        <v>2378946703</v>
      </c>
    </row>
    <row r="8" spans="1:12" x14ac:dyDescent="0.25">
      <c r="A8">
        <v>805</v>
      </c>
      <c r="B8" t="s">
        <v>106</v>
      </c>
      <c r="C8" t="s">
        <v>603</v>
      </c>
      <c r="D8" t="s">
        <v>604</v>
      </c>
      <c r="E8" t="s">
        <v>605</v>
      </c>
      <c r="F8">
        <v>8374022176</v>
      </c>
    </row>
    <row r="9" spans="1:12" x14ac:dyDescent="0.25">
      <c r="A9">
        <v>803</v>
      </c>
      <c r="B9" t="s">
        <v>606</v>
      </c>
      <c r="C9" t="s">
        <v>607</v>
      </c>
      <c r="D9" t="s">
        <v>608</v>
      </c>
      <c r="E9" t="s">
        <v>594</v>
      </c>
      <c r="F9">
        <v>5698225463</v>
      </c>
    </row>
    <row r="10" spans="1:12" x14ac:dyDescent="0.25">
      <c r="A10">
        <v>295</v>
      </c>
      <c r="B10" t="s">
        <v>609</v>
      </c>
      <c r="C10" t="s">
        <v>610</v>
      </c>
      <c r="D10" t="s">
        <v>611</v>
      </c>
      <c r="E10" t="s">
        <v>598</v>
      </c>
      <c r="F10">
        <v>1948808609</v>
      </c>
    </row>
    <row r="11" spans="1:12" x14ac:dyDescent="0.25">
      <c r="A11">
        <v>804</v>
      </c>
      <c r="B11" t="s">
        <v>612</v>
      </c>
      <c r="C11" t="s">
        <v>583</v>
      </c>
      <c r="D11" t="s">
        <v>57</v>
      </c>
      <c r="E11" t="s">
        <v>613</v>
      </c>
      <c r="F11">
        <v>5155277679</v>
      </c>
    </row>
    <row r="12" spans="1:12" x14ac:dyDescent="0.25">
      <c r="A12">
        <v>54</v>
      </c>
      <c r="B12" t="s">
        <v>614</v>
      </c>
      <c r="C12" t="s">
        <v>615</v>
      </c>
      <c r="D12" t="s">
        <v>616</v>
      </c>
      <c r="E12" t="s">
        <v>617</v>
      </c>
      <c r="F12">
        <v>8682770474</v>
      </c>
    </row>
    <row r="13" spans="1:12" x14ac:dyDescent="0.25">
      <c r="A13">
        <v>853</v>
      </c>
      <c r="B13" t="s">
        <v>618</v>
      </c>
      <c r="C13" t="s">
        <v>619</v>
      </c>
      <c r="D13" t="s">
        <v>620</v>
      </c>
      <c r="E13" t="s">
        <v>621</v>
      </c>
      <c r="F13">
        <v>9334728554</v>
      </c>
    </row>
    <row r="14" spans="1:12" x14ac:dyDescent="0.25">
      <c r="A14">
        <v>902</v>
      </c>
      <c r="B14" t="s">
        <v>622</v>
      </c>
      <c r="C14" t="s">
        <v>623</v>
      </c>
      <c r="D14" t="s">
        <v>624</v>
      </c>
      <c r="E14" t="s">
        <v>625</v>
      </c>
      <c r="F14">
        <v>8568849220</v>
      </c>
    </row>
    <row r="15" spans="1:12" x14ac:dyDescent="0.25">
      <c r="A15">
        <v>163</v>
      </c>
      <c r="B15" t="s">
        <v>626</v>
      </c>
      <c r="C15" t="s">
        <v>627</v>
      </c>
      <c r="D15" t="s">
        <v>628</v>
      </c>
      <c r="E15" t="s">
        <v>629</v>
      </c>
      <c r="F15">
        <v>6993831591</v>
      </c>
    </row>
    <row r="16" spans="1:12" x14ac:dyDescent="0.25">
      <c r="A16">
        <v>993</v>
      </c>
      <c r="B16" t="s">
        <v>630</v>
      </c>
      <c r="C16" t="s">
        <v>596</v>
      </c>
      <c r="D16" t="s">
        <v>631</v>
      </c>
      <c r="E16" t="s">
        <v>585</v>
      </c>
      <c r="F16">
        <v>3028920870</v>
      </c>
    </row>
    <row r="17" spans="1:6" x14ac:dyDescent="0.25">
      <c r="A17">
        <v>891</v>
      </c>
      <c r="B17" t="s">
        <v>632</v>
      </c>
      <c r="C17" t="s">
        <v>633</v>
      </c>
      <c r="D17" t="s">
        <v>634</v>
      </c>
      <c r="E17" t="s">
        <v>635</v>
      </c>
      <c r="F17">
        <v>8786356477</v>
      </c>
    </row>
    <row r="18" spans="1:6" x14ac:dyDescent="0.25">
      <c r="A18">
        <v>950</v>
      </c>
      <c r="B18" t="s">
        <v>636</v>
      </c>
      <c r="C18" t="s">
        <v>637</v>
      </c>
      <c r="D18" t="s">
        <v>638</v>
      </c>
      <c r="E18" t="s">
        <v>598</v>
      </c>
      <c r="F18">
        <v>5614057152</v>
      </c>
    </row>
    <row r="19" spans="1:6" x14ac:dyDescent="0.25">
      <c r="A19">
        <v>292</v>
      </c>
      <c r="B19" t="s">
        <v>639</v>
      </c>
      <c r="C19" t="s">
        <v>615</v>
      </c>
      <c r="D19" t="s">
        <v>640</v>
      </c>
      <c r="E19" t="s">
        <v>598</v>
      </c>
      <c r="F19">
        <v>7483616892</v>
      </c>
    </row>
    <row r="20" spans="1:6" x14ac:dyDescent="0.25">
      <c r="A20">
        <v>90</v>
      </c>
      <c r="B20" t="s">
        <v>641</v>
      </c>
      <c r="C20" t="s">
        <v>642</v>
      </c>
      <c r="D20" t="s">
        <v>643</v>
      </c>
      <c r="E20" t="s">
        <v>644</v>
      </c>
      <c r="F20">
        <v>2812376384</v>
      </c>
    </row>
    <row r="21" spans="1:6" x14ac:dyDescent="0.25">
      <c r="A21">
        <v>49</v>
      </c>
      <c r="B21" t="s">
        <v>645</v>
      </c>
      <c r="C21" t="s">
        <v>586</v>
      </c>
      <c r="D21" t="s">
        <v>646</v>
      </c>
      <c r="E21" t="s">
        <v>588</v>
      </c>
      <c r="F21">
        <v>5956508519</v>
      </c>
    </row>
    <row r="22" spans="1:6" x14ac:dyDescent="0.25">
      <c r="A22">
        <v>100</v>
      </c>
      <c r="B22" t="s">
        <v>647</v>
      </c>
      <c r="C22" t="s">
        <v>607</v>
      </c>
      <c r="D22" t="s">
        <v>648</v>
      </c>
      <c r="E22" t="s">
        <v>649</v>
      </c>
      <c r="F22">
        <v>5847136625</v>
      </c>
    </row>
    <row r="23" spans="1:6" x14ac:dyDescent="0.25">
      <c r="A23">
        <v>405</v>
      </c>
      <c r="B23" t="s">
        <v>650</v>
      </c>
      <c r="C23" t="s">
        <v>633</v>
      </c>
      <c r="D23" t="s">
        <v>651</v>
      </c>
      <c r="E23" t="s">
        <v>652</v>
      </c>
      <c r="F23">
        <v>4048218701</v>
      </c>
    </row>
    <row r="24" spans="1:6" x14ac:dyDescent="0.25">
      <c r="A24">
        <v>584</v>
      </c>
      <c r="B24" t="s">
        <v>653</v>
      </c>
      <c r="C24" t="s">
        <v>654</v>
      </c>
      <c r="D24" t="s">
        <v>655</v>
      </c>
      <c r="E24" t="s">
        <v>656</v>
      </c>
      <c r="F24">
        <v>1646327916</v>
      </c>
    </row>
    <row r="25" spans="1:6" x14ac:dyDescent="0.25">
      <c r="A25">
        <v>326</v>
      </c>
      <c r="B25" t="s">
        <v>641</v>
      </c>
      <c r="C25" t="s">
        <v>657</v>
      </c>
      <c r="D25" t="s">
        <v>429</v>
      </c>
      <c r="E25" t="s">
        <v>658</v>
      </c>
      <c r="F25">
        <v>2898450180</v>
      </c>
    </row>
    <row r="26" spans="1:6" x14ac:dyDescent="0.25">
      <c r="A26">
        <v>95</v>
      </c>
      <c r="B26" t="s">
        <v>659</v>
      </c>
      <c r="C26" t="s">
        <v>615</v>
      </c>
      <c r="D26" t="s">
        <v>660</v>
      </c>
      <c r="E26" t="s">
        <v>598</v>
      </c>
      <c r="F26">
        <v>1977102732</v>
      </c>
    </row>
    <row r="27" spans="1:6" x14ac:dyDescent="0.25">
      <c r="A27">
        <v>600</v>
      </c>
      <c r="B27" t="s">
        <v>661</v>
      </c>
      <c r="C27" t="s">
        <v>662</v>
      </c>
      <c r="D27" t="s">
        <v>663</v>
      </c>
      <c r="E27" t="s">
        <v>664</v>
      </c>
      <c r="F27">
        <v>1551452510</v>
      </c>
    </row>
    <row r="28" spans="1:6" x14ac:dyDescent="0.25">
      <c r="A28">
        <v>26</v>
      </c>
      <c r="B28" t="s">
        <v>665</v>
      </c>
      <c r="C28" t="s">
        <v>610</v>
      </c>
      <c r="D28" t="s">
        <v>666</v>
      </c>
      <c r="E28" t="s">
        <v>667</v>
      </c>
      <c r="F28">
        <v>5544881818</v>
      </c>
    </row>
    <row r="29" spans="1:6" x14ac:dyDescent="0.25">
      <c r="A29">
        <v>515</v>
      </c>
      <c r="B29" t="s">
        <v>668</v>
      </c>
      <c r="C29" t="s">
        <v>669</v>
      </c>
      <c r="D29" t="s">
        <v>670</v>
      </c>
      <c r="E29" t="s">
        <v>602</v>
      </c>
      <c r="F29">
        <v>6808482203</v>
      </c>
    </row>
    <row r="30" spans="1:6" x14ac:dyDescent="0.25">
      <c r="A30">
        <v>876</v>
      </c>
      <c r="B30" t="s">
        <v>671</v>
      </c>
      <c r="C30" t="s">
        <v>596</v>
      </c>
      <c r="D30" t="s">
        <v>672</v>
      </c>
      <c r="E30" t="s">
        <v>658</v>
      </c>
      <c r="F30">
        <v>6818183906</v>
      </c>
    </row>
    <row r="31" spans="1:6" x14ac:dyDescent="0.25">
      <c r="A31">
        <v>691</v>
      </c>
      <c r="B31" t="s">
        <v>582</v>
      </c>
      <c r="C31" t="s">
        <v>610</v>
      </c>
      <c r="D31" t="s">
        <v>673</v>
      </c>
      <c r="E31" t="s">
        <v>617</v>
      </c>
      <c r="F31">
        <v>1052447026</v>
      </c>
    </row>
    <row r="32" spans="1:6" x14ac:dyDescent="0.25">
      <c r="A32">
        <v>605</v>
      </c>
      <c r="B32" t="s">
        <v>674</v>
      </c>
      <c r="C32" t="s">
        <v>675</v>
      </c>
      <c r="D32" t="s">
        <v>676</v>
      </c>
      <c r="E32" t="s">
        <v>677</v>
      </c>
      <c r="F32">
        <v>1926409080</v>
      </c>
    </row>
    <row r="33" spans="1:6" x14ac:dyDescent="0.25">
      <c r="A33">
        <v>864</v>
      </c>
      <c r="B33" t="s">
        <v>109</v>
      </c>
      <c r="C33" t="s">
        <v>678</v>
      </c>
      <c r="D33" t="s">
        <v>679</v>
      </c>
      <c r="E33" t="s">
        <v>613</v>
      </c>
      <c r="F33">
        <v>7332778584</v>
      </c>
    </row>
    <row r="34" spans="1:6" x14ac:dyDescent="0.25">
      <c r="A34">
        <v>886</v>
      </c>
      <c r="B34" t="s">
        <v>680</v>
      </c>
      <c r="C34" t="s">
        <v>586</v>
      </c>
      <c r="D34" t="s">
        <v>681</v>
      </c>
      <c r="E34" t="s">
        <v>602</v>
      </c>
      <c r="F34">
        <v>1374706667</v>
      </c>
    </row>
    <row r="35" spans="1:6" x14ac:dyDescent="0.25">
      <c r="A35">
        <v>365</v>
      </c>
      <c r="B35" t="s">
        <v>682</v>
      </c>
      <c r="C35" t="s">
        <v>662</v>
      </c>
      <c r="D35" t="s">
        <v>262</v>
      </c>
      <c r="E35" t="s">
        <v>683</v>
      </c>
      <c r="F35">
        <v>2176301525</v>
      </c>
    </row>
    <row r="36" spans="1:6" x14ac:dyDescent="0.25">
      <c r="A36">
        <v>946</v>
      </c>
      <c r="B36" t="s">
        <v>641</v>
      </c>
      <c r="C36" t="s">
        <v>684</v>
      </c>
      <c r="D36" t="s">
        <v>685</v>
      </c>
      <c r="E36" t="s">
        <v>635</v>
      </c>
      <c r="F36">
        <v>1590827102</v>
      </c>
    </row>
    <row r="37" spans="1:6" x14ac:dyDescent="0.25">
      <c r="A37">
        <v>152</v>
      </c>
      <c r="B37" t="s">
        <v>686</v>
      </c>
      <c r="C37" t="s">
        <v>669</v>
      </c>
      <c r="D37" t="s">
        <v>687</v>
      </c>
      <c r="E37" t="s">
        <v>658</v>
      </c>
      <c r="F37">
        <v>1705805447</v>
      </c>
    </row>
    <row r="38" spans="1:6" x14ac:dyDescent="0.25">
      <c r="A38">
        <v>789</v>
      </c>
      <c r="B38" t="s">
        <v>688</v>
      </c>
      <c r="C38" t="s">
        <v>600</v>
      </c>
      <c r="D38" t="s">
        <v>689</v>
      </c>
      <c r="E38" t="s">
        <v>594</v>
      </c>
      <c r="F38">
        <v>7412005788</v>
      </c>
    </row>
    <row r="39" spans="1:6" x14ac:dyDescent="0.25">
      <c r="A39">
        <v>148</v>
      </c>
      <c r="B39" t="s">
        <v>690</v>
      </c>
      <c r="C39" t="s">
        <v>592</v>
      </c>
      <c r="D39" t="s">
        <v>691</v>
      </c>
      <c r="E39" t="s">
        <v>652</v>
      </c>
      <c r="F39">
        <v>4924177596</v>
      </c>
    </row>
    <row r="40" spans="1:6" x14ac:dyDescent="0.25">
      <c r="A40">
        <v>7</v>
      </c>
      <c r="B40" t="s">
        <v>692</v>
      </c>
      <c r="C40" t="s">
        <v>590</v>
      </c>
      <c r="D40" t="s">
        <v>693</v>
      </c>
      <c r="E40" t="s">
        <v>694</v>
      </c>
      <c r="F40">
        <v>9744154055</v>
      </c>
    </row>
    <row r="41" spans="1:6" x14ac:dyDescent="0.25">
      <c r="A41">
        <v>982</v>
      </c>
      <c r="B41" t="s">
        <v>695</v>
      </c>
      <c r="C41" t="s">
        <v>654</v>
      </c>
      <c r="D41" t="s">
        <v>696</v>
      </c>
      <c r="E41" t="s">
        <v>588</v>
      </c>
      <c r="F41">
        <v>5862720266</v>
      </c>
    </row>
    <row r="42" spans="1:6" x14ac:dyDescent="0.25">
      <c r="A42">
        <v>249</v>
      </c>
      <c r="B42" t="s">
        <v>697</v>
      </c>
      <c r="C42" t="s">
        <v>642</v>
      </c>
      <c r="D42" t="s">
        <v>698</v>
      </c>
      <c r="E42" t="s">
        <v>585</v>
      </c>
      <c r="F42">
        <v>6264685114</v>
      </c>
    </row>
    <row r="43" spans="1:6" x14ac:dyDescent="0.25">
      <c r="A43">
        <v>273</v>
      </c>
      <c r="B43" t="s">
        <v>555</v>
      </c>
      <c r="C43" t="s">
        <v>596</v>
      </c>
      <c r="D43" t="s">
        <v>699</v>
      </c>
      <c r="E43" t="s">
        <v>658</v>
      </c>
      <c r="F43">
        <v>6650624462</v>
      </c>
    </row>
    <row r="44" spans="1:6" x14ac:dyDescent="0.25">
      <c r="A44">
        <v>172</v>
      </c>
      <c r="B44" t="s">
        <v>700</v>
      </c>
      <c r="C44" t="s">
        <v>607</v>
      </c>
      <c r="D44" t="s">
        <v>701</v>
      </c>
      <c r="E44" t="s">
        <v>585</v>
      </c>
      <c r="F44">
        <v>7889923764</v>
      </c>
    </row>
    <row r="45" spans="1:6" x14ac:dyDescent="0.25">
      <c r="A45">
        <v>234</v>
      </c>
      <c r="B45" t="s">
        <v>702</v>
      </c>
      <c r="C45" t="s">
        <v>600</v>
      </c>
      <c r="D45" t="s">
        <v>703</v>
      </c>
      <c r="E45" t="s">
        <v>644</v>
      </c>
      <c r="F45">
        <v>4666975381</v>
      </c>
    </row>
    <row r="46" spans="1:6" x14ac:dyDescent="0.25">
      <c r="A46">
        <v>844</v>
      </c>
      <c r="B46" t="s">
        <v>704</v>
      </c>
      <c r="C46" t="s">
        <v>678</v>
      </c>
      <c r="D46" t="s">
        <v>705</v>
      </c>
      <c r="E46" t="s">
        <v>629</v>
      </c>
      <c r="F46">
        <v>1860620006</v>
      </c>
    </row>
    <row r="47" spans="1:6" x14ac:dyDescent="0.25">
      <c r="A47">
        <v>368</v>
      </c>
      <c r="B47" t="s">
        <v>706</v>
      </c>
      <c r="C47" t="s">
        <v>607</v>
      </c>
      <c r="D47" t="s">
        <v>707</v>
      </c>
      <c r="E47" t="s">
        <v>585</v>
      </c>
      <c r="F47">
        <v>1015130737</v>
      </c>
    </row>
    <row r="48" spans="1:6" x14ac:dyDescent="0.25">
      <c r="A48">
        <v>372</v>
      </c>
      <c r="B48" t="s">
        <v>64</v>
      </c>
      <c r="C48" t="s">
        <v>590</v>
      </c>
      <c r="D48" t="s">
        <v>708</v>
      </c>
      <c r="E48" t="s">
        <v>588</v>
      </c>
      <c r="F48">
        <v>3355369287</v>
      </c>
    </row>
    <row r="49" spans="1:6" x14ac:dyDescent="0.25">
      <c r="A49">
        <v>82</v>
      </c>
      <c r="B49" t="s">
        <v>709</v>
      </c>
      <c r="C49" t="s">
        <v>657</v>
      </c>
      <c r="D49" t="s">
        <v>655</v>
      </c>
      <c r="E49" t="s">
        <v>710</v>
      </c>
      <c r="F49">
        <v>7381630742</v>
      </c>
    </row>
    <row r="50" spans="1:6" x14ac:dyDescent="0.25">
      <c r="A50">
        <v>528</v>
      </c>
      <c r="B50" t="s">
        <v>711</v>
      </c>
      <c r="C50" t="s">
        <v>583</v>
      </c>
      <c r="D50" t="s">
        <v>450</v>
      </c>
      <c r="E50" t="s">
        <v>694</v>
      </c>
      <c r="F50">
        <v>3343867513</v>
      </c>
    </row>
    <row r="51" spans="1:6" x14ac:dyDescent="0.25">
      <c r="A51">
        <v>143</v>
      </c>
      <c r="B51" t="s">
        <v>421</v>
      </c>
      <c r="C51" t="s">
        <v>633</v>
      </c>
      <c r="D51" t="s">
        <v>712</v>
      </c>
      <c r="E51" t="s">
        <v>591</v>
      </c>
      <c r="F51">
        <v>1484052991</v>
      </c>
    </row>
    <row r="52" spans="1:6" x14ac:dyDescent="0.25">
      <c r="A52">
        <v>429</v>
      </c>
      <c r="B52" t="s">
        <v>713</v>
      </c>
      <c r="C52" t="s">
        <v>592</v>
      </c>
      <c r="D52" t="s">
        <v>714</v>
      </c>
      <c r="E52" t="s">
        <v>617</v>
      </c>
      <c r="F52">
        <v>5158272401</v>
      </c>
    </row>
    <row r="53" spans="1:6" x14ac:dyDescent="0.25">
      <c r="A53">
        <v>47</v>
      </c>
      <c r="B53" t="s">
        <v>119</v>
      </c>
      <c r="C53" t="s">
        <v>586</v>
      </c>
      <c r="D53" t="s">
        <v>715</v>
      </c>
      <c r="E53" t="s">
        <v>716</v>
      </c>
      <c r="F53">
        <v>6223189308</v>
      </c>
    </row>
    <row r="54" spans="1:6" x14ac:dyDescent="0.25">
      <c r="A54">
        <v>790</v>
      </c>
      <c r="B54" t="s">
        <v>564</v>
      </c>
      <c r="C54" t="s">
        <v>684</v>
      </c>
      <c r="D54" t="s">
        <v>717</v>
      </c>
      <c r="E54" t="s">
        <v>588</v>
      </c>
      <c r="F54">
        <v>1246424250</v>
      </c>
    </row>
    <row r="55" spans="1:6" x14ac:dyDescent="0.25">
      <c r="A55">
        <v>427</v>
      </c>
      <c r="B55" t="s">
        <v>718</v>
      </c>
      <c r="C55" t="s">
        <v>596</v>
      </c>
      <c r="D55" t="s">
        <v>719</v>
      </c>
      <c r="E55" t="s">
        <v>644</v>
      </c>
      <c r="F55">
        <v>4239981168</v>
      </c>
    </row>
    <row r="56" spans="1:6" x14ac:dyDescent="0.25">
      <c r="A56">
        <v>906</v>
      </c>
      <c r="B56" t="s">
        <v>720</v>
      </c>
      <c r="C56" t="s">
        <v>675</v>
      </c>
      <c r="D56" t="s">
        <v>640</v>
      </c>
      <c r="E56" t="s">
        <v>721</v>
      </c>
      <c r="F56">
        <v>3882423236</v>
      </c>
    </row>
    <row r="57" spans="1:6" x14ac:dyDescent="0.25">
      <c r="A57">
        <v>750</v>
      </c>
      <c r="B57" t="s">
        <v>722</v>
      </c>
      <c r="C57" t="s">
        <v>662</v>
      </c>
      <c r="D57" t="s">
        <v>723</v>
      </c>
      <c r="E57" t="s">
        <v>724</v>
      </c>
      <c r="F57">
        <v>9166200177</v>
      </c>
    </row>
    <row r="58" spans="1:6" x14ac:dyDescent="0.25">
      <c r="A58">
        <v>913</v>
      </c>
      <c r="B58" t="s">
        <v>725</v>
      </c>
      <c r="C58" t="s">
        <v>726</v>
      </c>
      <c r="D58" t="s">
        <v>727</v>
      </c>
      <c r="E58" t="s">
        <v>598</v>
      </c>
      <c r="F58">
        <v>5137511014</v>
      </c>
    </row>
    <row r="59" spans="1:6" x14ac:dyDescent="0.25">
      <c r="A59">
        <v>31</v>
      </c>
      <c r="B59" t="s">
        <v>728</v>
      </c>
      <c r="C59" t="s">
        <v>675</v>
      </c>
      <c r="D59" t="s">
        <v>729</v>
      </c>
      <c r="E59" t="s">
        <v>730</v>
      </c>
      <c r="F59">
        <v>9741124956</v>
      </c>
    </row>
    <row r="60" spans="1:6" x14ac:dyDescent="0.25">
      <c r="A60">
        <v>733</v>
      </c>
      <c r="B60" t="s">
        <v>731</v>
      </c>
      <c r="C60" t="s">
        <v>654</v>
      </c>
      <c r="D60" t="s">
        <v>732</v>
      </c>
      <c r="E60" t="s">
        <v>733</v>
      </c>
      <c r="F60">
        <v>1055293942</v>
      </c>
    </row>
    <row r="61" spans="1:6" x14ac:dyDescent="0.25">
      <c r="A61">
        <v>624</v>
      </c>
      <c r="B61" t="s">
        <v>523</v>
      </c>
      <c r="C61" t="s">
        <v>678</v>
      </c>
      <c r="D61" t="s">
        <v>734</v>
      </c>
      <c r="E61" t="s">
        <v>644</v>
      </c>
      <c r="F61">
        <v>2774587967</v>
      </c>
    </row>
    <row r="62" spans="1:6" x14ac:dyDescent="0.25">
      <c r="A62">
        <v>199</v>
      </c>
      <c r="B62" t="s">
        <v>377</v>
      </c>
      <c r="C62" t="s">
        <v>669</v>
      </c>
      <c r="D62" t="s">
        <v>735</v>
      </c>
      <c r="E62" t="s">
        <v>736</v>
      </c>
      <c r="F62">
        <v>6383939014</v>
      </c>
    </row>
    <row r="63" spans="1:6" x14ac:dyDescent="0.25">
      <c r="A63">
        <v>112</v>
      </c>
      <c r="B63" t="s">
        <v>737</v>
      </c>
      <c r="C63" t="s">
        <v>610</v>
      </c>
      <c r="D63" t="s">
        <v>322</v>
      </c>
      <c r="E63" t="s">
        <v>591</v>
      </c>
      <c r="F63">
        <v>8157564947</v>
      </c>
    </row>
    <row r="64" spans="1:6" x14ac:dyDescent="0.25">
      <c r="A64">
        <v>256</v>
      </c>
      <c r="B64" t="s">
        <v>88</v>
      </c>
      <c r="C64" t="s">
        <v>662</v>
      </c>
      <c r="D64" t="s">
        <v>738</v>
      </c>
      <c r="E64" t="s">
        <v>739</v>
      </c>
      <c r="F64">
        <v>2513725051</v>
      </c>
    </row>
    <row r="65" spans="1:6" x14ac:dyDescent="0.25">
      <c r="A65">
        <v>848</v>
      </c>
      <c r="B65" t="s">
        <v>740</v>
      </c>
      <c r="C65" t="s">
        <v>669</v>
      </c>
      <c r="D65" t="s">
        <v>741</v>
      </c>
      <c r="E65" t="s">
        <v>683</v>
      </c>
      <c r="F65">
        <v>6829482368</v>
      </c>
    </row>
    <row r="66" spans="1:6" x14ac:dyDescent="0.25">
      <c r="A66">
        <v>102</v>
      </c>
      <c r="B66" t="s">
        <v>106</v>
      </c>
      <c r="C66" t="s">
        <v>669</v>
      </c>
      <c r="D66" t="s">
        <v>742</v>
      </c>
      <c r="E66" t="s">
        <v>629</v>
      </c>
      <c r="F66">
        <v>3746956671</v>
      </c>
    </row>
    <row r="67" spans="1:6" x14ac:dyDescent="0.25">
      <c r="A67">
        <v>361</v>
      </c>
      <c r="B67" t="s">
        <v>743</v>
      </c>
      <c r="C67" t="s">
        <v>583</v>
      </c>
      <c r="D67" t="s">
        <v>744</v>
      </c>
      <c r="E67" t="s">
        <v>658</v>
      </c>
      <c r="F67">
        <v>3968979172</v>
      </c>
    </row>
    <row r="68" spans="1:6" x14ac:dyDescent="0.25">
      <c r="A68">
        <v>962</v>
      </c>
      <c r="B68" t="s">
        <v>745</v>
      </c>
      <c r="C68" t="s">
        <v>623</v>
      </c>
      <c r="D68" t="s">
        <v>746</v>
      </c>
      <c r="E68" t="s">
        <v>613</v>
      </c>
      <c r="F68">
        <v>3932448384</v>
      </c>
    </row>
    <row r="69" spans="1:6" x14ac:dyDescent="0.25">
      <c r="A69">
        <v>443</v>
      </c>
      <c r="B69" t="s">
        <v>747</v>
      </c>
      <c r="C69" t="s">
        <v>619</v>
      </c>
      <c r="D69" t="s">
        <v>748</v>
      </c>
      <c r="E69" t="s">
        <v>625</v>
      </c>
      <c r="F69">
        <v>2852248623</v>
      </c>
    </row>
    <row r="70" spans="1:6" x14ac:dyDescent="0.25">
      <c r="A70">
        <v>977</v>
      </c>
      <c r="B70" t="s">
        <v>749</v>
      </c>
      <c r="C70" t="s">
        <v>750</v>
      </c>
      <c r="D70" t="s">
        <v>715</v>
      </c>
      <c r="E70" t="s">
        <v>656</v>
      </c>
      <c r="F70">
        <v>2448301670</v>
      </c>
    </row>
    <row r="71" spans="1:6" x14ac:dyDescent="0.25">
      <c r="A71">
        <v>936</v>
      </c>
      <c r="B71" t="s">
        <v>326</v>
      </c>
      <c r="C71" t="s">
        <v>583</v>
      </c>
      <c r="D71" t="s">
        <v>751</v>
      </c>
      <c r="E71" t="s">
        <v>752</v>
      </c>
      <c r="F71">
        <v>3017545245</v>
      </c>
    </row>
    <row r="72" spans="1:6" x14ac:dyDescent="0.25">
      <c r="A72">
        <v>395</v>
      </c>
      <c r="B72" t="s">
        <v>753</v>
      </c>
      <c r="C72" t="s">
        <v>633</v>
      </c>
      <c r="D72" t="s">
        <v>754</v>
      </c>
      <c r="E72" t="s">
        <v>585</v>
      </c>
      <c r="F72">
        <v>3061127061</v>
      </c>
    </row>
    <row r="73" spans="1:6" x14ac:dyDescent="0.25">
      <c r="A73">
        <v>344</v>
      </c>
      <c r="B73" t="s">
        <v>145</v>
      </c>
      <c r="C73" t="s">
        <v>755</v>
      </c>
      <c r="D73" t="s">
        <v>756</v>
      </c>
      <c r="E73" t="s">
        <v>757</v>
      </c>
      <c r="F73">
        <v>6894953031</v>
      </c>
    </row>
    <row r="74" spans="1:6" x14ac:dyDescent="0.25">
      <c r="A74">
        <v>48</v>
      </c>
      <c r="B74" t="s">
        <v>758</v>
      </c>
      <c r="C74" t="s">
        <v>637</v>
      </c>
      <c r="D74" t="s">
        <v>759</v>
      </c>
      <c r="E74" t="s">
        <v>683</v>
      </c>
      <c r="F74">
        <v>3072705157</v>
      </c>
    </row>
    <row r="75" spans="1:6" x14ac:dyDescent="0.25">
      <c r="A75">
        <v>362</v>
      </c>
      <c r="B75" t="s">
        <v>760</v>
      </c>
      <c r="C75" t="s">
        <v>586</v>
      </c>
      <c r="D75" t="s">
        <v>761</v>
      </c>
      <c r="E75" t="s">
        <v>602</v>
      </c>
      <c r="F75">
        <v>7245809798</v>
      </c>
    </row>
    <row r="76" spans="1:6" x14ac:dyDescent="0.25">
      <c r="A76">
        <v>88</v>
      </c>
      <c r="B76" t="s">
        <v>762</v>
      </c>
      <c r="C76" t="s">
        <v>675</v>
      </c>
      <c r="D76" t="s">
        <v>763</v>
      </c>
      <c r="E76" t="s">
        <v>658</v>
      </c>
      <c r="F76">
        <v>8271644418</v>
      </c>
    </row>
    <row r="77" spans="1:6" x14ac:dyDescent="0.25">
      <c r="A77">
        <v>289</v>
      </c>
      <c r="B77" t="s">
        <v>122</v>
      </c>
      <c r="C77" t="s">
        <v>586</v>
      </c>
      <c r="D77" t="s">
        <v>764</v>
      </c>
      <c r="E77" t="s">
        <v>765</v>
      </c>
      <c r="F77">
        <v>3201665520</v>
      </c>
    </row>
    <row r="78" spans="1:6" x14ac:dyDescent="0.25">
      <c r="A78">
        <v>704</v>
      </c>
      <c r="B78" t="s">
        <v>766</v>
      </c>
      <c r="C78" t="s">
        <v>610</v>
      </c>
      <c r="D78" t="s">
        <v>767</v>
      </c>
      <c r="E78" t="s">
        <v>683</v>
      </c>
      <c r="F78">
        <v>3426056035</v>
      </c>
    </row>
    <row r="79" spans="1:6" x14ac:dyDescent="0.25">
      <c r="A79">
        <v>903</v>
      </c>
      <c r="B79" t="s">
        <v>154</v>
      </c>
      <c r="C79" t="s">
        <v>678</v>
      </c>
      <c r="D79" t="s">
        <v>768</v>
      </c>
      <c r="E79" t="s">
        <v>765</v>
      </c>
      <c r="F79">
        <v>1233066378</v>
      </c>
    </row>
    <row r="80" spans="1:6" x14ac:dyDescent="0.25">
      <c r="A80">
        <v>315</v>
      </c>
      <c r="B80" t="s">
        <v>148</v>
      </c>
      <c r="C80" t="s">
        <v>586</v>
      </c>
      <c r="D80" t="s">
        <v>21</v>
      </c>
      <c r="E80" t="s">
        <v>721</v>
      </c>
      <c r="F80">
        <v>6263485134</v>
      </c>
    </row>
    <row r="81" spans="1:6" x14ac:dyDescent="0.25">
      <c r="A81">
        <v>501</v>
      </c>
      <c r="B81" t="s">
        <v>769</v>
      </c>
      <c r="C81" t="s">
        <v>619</v>
      </c>
      <c r="D81" t="s">
        <v>770</v>
      </c>
      <c r="E81" t="s">
        <v>658</v>
      </c>
      <c r="F81">
        <v>1354925878</v>
      </c>
    </row>
    <row r="82" spans="1:6" x14ac:dyDescent="0.25">
      <c r="A82">
        <v>812</v>
      </c>
      <c r="B82" t="s">
        <v>771</v>
      </c>
      <c r="C82" t="s">
        <v>583</v>
      </c>
      <c r="D82" t="s">
        <v>772</v>
      </c>
      <c r="E82" t="s">
        <v>602</v>
      </c>
      <c r="F82">
        <v>6143377957</v>
      </c>
    </row>
    <row r="83" spans="1:6" x14ac:dyDescent="0.25">
      <c r="A83">
        <v>953</v>
      </c>
      <c r="B83" t="s">
        <v>22</v>
      </c>
      <c r="C83" t="s">
        <v>755</v>
      </c>
      <c r="D83" t="s">
        <v>773</v>
      </c>
      <c r="E83" t="s">
        <v>591</v>
      </c>
      <c r="F83">
        <v>1029837290</v>
      </c>
    </row>
    <row r="84" spans="1:6" x14ac:dyDescent="0.25">
      <c r="A84">
        <v>830</v>
      </c>
      <c r="B84" t="s">
        <v>697</v>
      </c>
      <c r="C84" t="s">
        <v>774</v>
      </c>
      <c r="D84" t="s">
        <v>775</v>
      </c>
      <c r="E84" t="s">
        <v>588</v>
      </c>
      <c r="F84">
        <v>9313787148</v>
      </c>
    </row>
    <row r="85" spans="1:6" x14ac:dyDescent="0.25">
      <c r="A85">
        <v>656</v>
      </c>
      <c r="B85" t="s">
        <v>776</v>
      </c>
      <c r="C85" t="s">
        <v>657</v>
      </c>
      <c r="D85" t="s">
        <v>777</v>
      </c>
      <c r="E85" t="s">
        <v>736</v>
      </c>
      <c r="F85">
        <v>9053980373</v>
      </c>
    </row>
    <row r="86" spans="1:6" x14ac:dyDescent="0.25">
      <c r="A86">
        <v>935</v>
      </c>
      <c r="B86" t="s">
        <v>778</v>
      </c>
      <c r="C86" t="s">
        <v>662</v>
      </c>
      <c r="D86" t="s">
        <v>779</v>
      </c>
      <c r="E86" t="s">
        <v>677</v>
      </c>
      <c r="F86">
        <v>2836649349</v>
      </c>
    </row>
    <row r="87" spans="1:6" x14ac:dyDescent="0.25">
      <c r="A87">
        <v>762</v>
      </c>
      <c r="B87" t="s">
        <v>780</v>
      </c>
      <c r="C87" t="s">
        <v>583</v>
      </c>
      <c r="D87" t="s">
        <v>781</v>
      </c>
      <c r="E87" t="s">
        <v>621</v>
      </c>
      <c r="F87">
        <v>1786274009</v>
      </c>
    </row>
    <row r="88" spans="1:6" x14ac:dyDescent="0.25">
      <c r="A88">
        <v>698</v>
      </c>
      <c r="B88" t="s">
        <v>119</v>
      </c>
      <c r="C88" t="s">
        <v>607</v>
      </c>
      <c r="D88" t="s">
        <v>782</v>
      </c>
      <c r="E88" t="s">
        <v>656</v>
      </c>
      <c r="F88">
        <v>1300453861</v>
      </c>
    </row>
    <row r="89" spans="1:6" x14ac:dyDescent="0.25">
      <c r="A89">
        <v>294</v>
      </c>
      <c r="B89" t="s">
        <v>783</v>
      </c>
      <c r="C89" t="s">
        <v>726</v>
      </c>
      <c r="D89" t="s">
        <v>670</v>
      </c>
      <c r="E89" t="s">
        <v>733</v>
      </c>
      <c r="F89">
        <v>6518015418</v>
      </c>
    </row>
    <row r="90" spans="1:6" x14ac:dyDescent="0.25">
      <c r="A90">
        <v>535</v>
      </c>
      <c r="B90" t="s">
        <v>294</v>
      </c>
      <c r="C90" t="s">
        <v>590</v>
      </c>
      <c r="D90" t="s">
        <v>784</v>
      </c>
      <c r="E90" t="s">
        <v>644</v>
      </c>
      <c r="F90">
        <v>7774474168</v>
      </c>
    </row>
    <row r="91" spans="1:6" x14ac:dyDescent="0.25">
      <c r="A91">
        <v>357</v>
      </c>
      <c r="B91" t="s">
        <v>785</v>
      </c>
      <c r="C91" t="s">
        <v>755</v>
      </c>
      <c r="D91" t="s">
        <v>786</v>
      </c>
      <c r="E91" t="s">
        <v>757</v>
      </c>
      <c r="F91">
        <v>5796916149</v>
      </c>
    </row>
    <row r="92" spans="1:6" x14ac:dyDescent="0.25">
      <c r="A92">
        <v>468</v>
      </c>
      <c r="B92" t="s">
        <v>787</v>
      </c>
      <c r="C92" t="s">
        <v>592</v>
      </c>
      <c r="D92" t="s">
        <v>788</v>
      </c>
      <c r="E92" t="s">
        <v>789</v>
      </c>
      <c r="F92">
        <v>2618359567</v>
      </c>
    </row>
    <row r="93" spans="1:6" x14ac:dyDescent="0.25">
      <c r="A93">
        <v>798</v>
      </c>
      <c r="B93" t="s">
        <v>790</v>
      </c>
      <c r="C93" t="s">
        <v>654</v>
      </c>
      <c r="D93" t="s">
        <v>791</v>
      </c>
      <c r="E93" t="s">
        <v>736</v>
      </c>
      <c r="F93">
        <v>2073271791</v>
      </c>
    </row>
    <row r="94" spans="1:6" x14ac:dyDescent="0.25">
      <c r="A94">
        <v>497</v>
      </c>
      <c r="B94" t="s">
        <v>792</v>
      </c>
      <c r="C94" t="s">
        <v>669</v>
      </c>
      <c r="D94" t="s">
        <v>793</v>
      </c>
      <c r="E94" t="s">
        <v>621</v>
      </c>
      <c r="F94">
        <v>8030257579</v>
      </c>
    </row>
    <row r="95" spans="1:6" x14ac:dyDescent="0.25">
      <c r="A95">
        <v>841</v>
      </c>
      <c r="B95" t="s">
        <v>794</v>
      </c>
      <c r="C95" t="s">
        <v>615</v>
      </c>
      <c r="D95" t="s">
        <v>795</v>
      </c>
      <c r="E95" t="s">
        <v>621</v>
      </c>
      <c r="F95">
        <v>1610528704</v>
      </c>
    </row>
    <row r="96" spans="1:6" x14ac:dyDescent="0.25">
      <c r="A96">
        <v>521</v>
      </c>
      <c r="B96" t="s">
        <v>796</v>
      </c>
      <c r="C96" t="s">
        <v>627</v>
      </c>
      <c r="D96" t="s">
        <v>797</v>
      </c>
      <c r="E96" t="s">
        <v>605</v>
      </c>
      <c r="F96">
        <v>4105997340</v>
      </c>
    </row>
    <row r="97" spans="1:6" x14ac:dyDescent="0.25">
      <c r="A97">
        <v>2</v>
      </c>
      <c r="B97" t="s">
        <v>798</v>
      </c>
      <c r="C97" t="s">
        <v>590</v>
      </c>
      <c r="D97" t="s">
        <v>799</v>
      </c>
      <c r="E97" t="s">
        <v>694</v>
      </c>
      <c r="F97">
        <v>9250747856</v>
      </c>
    </row>
    <row r="98" spans="1:6" x14ac:dyDescent="0.25">
      <c r="A98">
        <v>637</v>
      </c>
      <c r="B98" t="s">
        <v>780</v>
      </c>
      <c r="C98" t="s">
        <v>637</v>
      </c>
      <c r="D98" t="s">
        <v>800</v>
      </c>
      <c r="E98" t="s">
        <v>801</v>
      </c>
      <c r="F98">
        <v>8907221376</v>
      </c>
    </row>
    <row r="99" spans="1:6" x14ac:dyDescent="0.25">
      <c r="A99">
        <v>407</v>
      </c>
      <c r="B99" t="s">
        <v>802</v>
      </c>
      <c r="C99" t="s">
        <v>596</v>
      </c>
      <c r="D99" t="s">
        <v>803</v>
      </c>
      <c r="E99" t="s">
        <v>716</v>
      </c>
      <c r="F99">
        <v>5519170607</v>
      </c>
    </row>
    <row r="100" spans="1:6" x14ac:dyDescent="0.25">
      <c r="A100">
        <v>87</v>
      </c>
      <c r="B100" t="s">
        <v>612</v>
      </c>
      <c r="C100" t="s">
        <v>596</v>
      </c>
      <c r="D100" t="s">
        <v>21</v>
      </c>
      <c r="E100" t="s">
        <v>683</v>
      </c>
      <c r="F100">
        <v>4444871583</v>
      </c>
    </row>
    <row r="101" spans="1:6" x14ac:dyDescent="0.25">
      <c r="A101">
        <v>894</v>
      </c>
      <c r="B101" t="s">
        <v>804</v>
      </c>
      <c r="C101" t="s">
        <v>637</v>
      </c>
      <c r="D101" t="s">
        <v>805</v>
      </c>
      <c r="E101" t="s">
        <v>598</v>
      </c>
      <c r="F101">
        <v>9892285623</v>
      </c>
    </row>
    <row r="102" spans="1:6" x14ac:dyDescent="0.25">
      <c r="A102">
        <v>708</v>
      </c>
      <c r="B102" t="s">
        <v>636</v>
      </c>
      <c r="C102" t="s">
        <v>637</v>
      </c>
      <c r="D102" t="s">
        <v>403</v>
      </c>
      <c r="E102" t="s">
        <v>621</v>
      </c>
      <c r="F102">
        <v>6155699440</v>
      </c>
    </row>
    <row r="103" spans="1:6" x14ac:dyDescent="0.25">
      <c r="A103">
        <v>311</v>
      </c>
      <c r="B103" t="s">
        <v>806</v>
      </c>
      <c r="C103" t="s">
        <v>615</v>
      </c>
      <c r="D103" t="s">
        <v>807</v>
      </c>
      <c r="E103" t="s">
        <v>621</v>
      </c>
      <c r="F103">
        <v>2539275235</v>
      </c>
    </row>
    <row r="104" spans="1:6" x14ac:dyDescent="0.25">
      <c r="A104">
        <v>888</v>
      </c>
      <c r="B104" t="s">
        <v>808</v>
      </c>
      <c r="C104" t="s">
        <v>669</v>
      </c>
      <c r="D104" t="s">
        <v>655</v>
      </c>
      <c r="E104" t="s">
        <v>621</v>
      </c>
      <c r="F104">
        <v>4534991454</v>
      </c>
    </row>
    <row r="105" spans="1:6" x14ac:dyDescent="0.25">
      <c r="A105">
        <v>678</v>
      </c>
      <c r="B105" t="s">
        <v>809</v>
      </c>
      <c r="C105" t="s">
        <v>684</v>
      </c>
      <c r="D105" t="s">
        <v>183</v>
      </c>
      <c r="E105" t="s">
        <v>656</v>
      </c>
      <c r="F105">
        <v>9411155106</v>
      </c>
    </row>
    <row r="106" spans="1:6" x14ac:dyDescent="0.25">
      <c r="A106">
        <v>734</v>
      </c>
      <c r="B106" t="s">
        <v>810</v>
      </c>
      <c r="C106" t="s">
        <v>642</v>
      </c>
      <c r="D106" t="s">
        <v>811</v>
      </c>
      <c r="E106" t="s">
        <v>635</v>
      </c>
      <c r="F106">
        <v>1161903173</v>
      </c>
    </row>
    <row r="107" spans="1:6" x14ac:dyDescent="0.25">
      <c r="A107">
        <v>640</v>
      </c>
      <c r="B107" t="s">
        <v>812</v>
      </c>
      <c r="C107" t="s">
        <v>637</v>
      </c>
      <c r="D107" t="s">
        <v>813</v>
      </c>
      <c r="E107" t="s">
        <v>658</v>
      </c>
      <c r="F107">
        <v>7858706884</v>
      </c>
    </row>
    <row r="108" spans="1:6" x14ac:dyDescent="0.25">
      <c r="A108">
        <v>189</v>
      </c>
      <c r="B108" t="s">
        <v>814</v>
      </c>
      <c r="C108" t="s">
        <v>750</v>
      </c>
      <c r="D108" t="s">
        <v>815</v>
      </c>
      <c r="E108" t="s">
        <v>677</v>
      </c>
      <c r="F108">
        <v>1967221186</v>
      </c>
    </row>
    <row r="109" spans="1:6" x14ac:dyDescent="0.25">
      <c r="A109">
        <v>685</v>
      </c>
      <c r="B109" t="s">
        <v>816</v>
      </c>
      <c r="C109" t="s">
        <v>607</v>
      </c>
      <c r="D109" t="s">
        <v>817</v>
      </c>
      <c r="E109" t="s">
        <v>733</v>
      </c>
      <c r="F109">
        <v>9336147887</v>
      </c>
    </row>
    <row r="110" spans="1:6" x14ac:dyDescent="0.25">
      <c r="A110">
        <v>617</v>
      </c>
      <c r="B110" t="s">
        <v>277</v>
      </c>
      <c r="C110" t="s">
        <v>678</v>
      </c>
      <c r="D110" t="s">
        <v>818</v>
      </c>
      <c r="E110" t="s">
        <v>757</v>
      </c>
      <c r="F110">
        <v>8437782692</v>
      </c>
    </row>
    <row r="111" spans="1:6" x14ac:dyDescent="0.25">
      <c r="A111">
        <v>508</v>
      </c>
      <c r="B111" t="s">
        <v>819</v>
      </c>
      <c r="C111" t="s">
        <v>669</v>
      </c>
      <c r="D111" t="s">
        <v>820</v>
      </c>
      <c r="E111" t="s">
        <v>821</v>
      </c>
      <c r="F111">
        <v>4162410124</v>
      </c>
    </row>
    <row r="112" spans="1:6" x14ac:dyDescent="0.25">
      <c r="A112">
        <v>406</v>
      </c>
      <c r="B112" t="s">
        <v>671</v>
      </c>
      <c r="C112" t="s">
        <v>657</v>
      </c>
      <c r="D112" t="s">
        <v>822</v>
      </c>
      <c r="E112" t="s">
        <v>752</v>
      </c>
      <c r="F112">
        <v>3864558057</v>
      </c>
    </row>
    <row r="113" spans="1:6" x14ac:dyDescent="0.25">
      <c r="A113">
        <v>132</v>
      </c>
      <c r="B113" t="s">
        <v>823</v>
      </c>
      <c r="C113" t="s">
        <v>662</v>
      </c>
      <c r="D113" t="s">
        <v>824</v>
      </c>
      <c r="E113" t="s">
        <v>656</v>
      </c>
      <c r="F113">
        <v>2019622576</v>
      </c>
    </row>
    <row r="114" spans="1:6" x14ac:dyDescent="0.25">
      <c r="A114">
        <v>785</v>
      </c>
      <c r="B114" t="s">
        <v>825</v>
      </c>
      <c r="C114" t="s">
        <v>583</v>
      </c>
      <c r="D114" t="s">
        <v>826</v>
      </c>
      <c r="E114" t="s">
        <v>658</v>
      </c>
      <c r="F114">
        <v>1837040341</v>
      </c>
    </row>
    <row r="115" spans="1:6" x14ac:dyDescent="0.25">
      <c r="A115">
        <v>113</v>
      </c>
      <c r="B115" t="s">
        <v>827</v>
      </c>
      <c r="C115" t="s">
        <v>675</v>
      </c>
      <c r="D115" t="s">
        <v>828</v>
      </c>
      <c r="E115" t="s">
        <v>829</v>
      </c>
      <c r="F115">
        <v>4235755436</v>
      </c>
    </row>
    <row r="116" spans="1:6" x14ac:dyDescent="0.25">
      <c r="A116">
        <v>951</v>
      </c>
      <c r="B116" t="s">
        <v>442</v>
      </c>
      <c r="C116" t="s">
        <v>583</v>
      </c>
      <c r="D116" t="s">
        <v>830</v>
      </c>
      <c r="E116" t="s">
        <v>649</v>
      </c>
      <c r="F116">
        <v>4933964760</v>
      </c>
    </row>
    <row r="117" spans="1:6" x14ac:dyDescent="0.25">
      <c r="A117">
        <v>169</v>
      </c>
      <c r="B117" t="s">
        <v>831</v>
      </c>
      <c r="C117" t="s">
        <v>623</v>
      </c>
      <c r="D117" t="s">
        <v>832</v>
      </c>
      <c r="E117" t="s">
        <v>721</v>
      </c>
      <c r="F117">
        <v>9986862728</v>
      </c>
    </row>
    <row r="118" spans="1:6" x14ac:dyDescent="0.25">
      <c r="A118">
        <v>984</v>
      </c>
      <c r="B118" t="s">
        <v>833</v>
      </c>
      <c r="C118" t="s">
        <v>623</v>
      </c>
      <c r="D118" t="s">
        <v>834</v>
      </c>
      <c r="E118" t="s">
        <v>605</v>
      </c>
      <c r="F118">
        <v>2460523574</v>
      </c>
    </row>
    <row r="119" spans="1:6" x14ac:dyDescent="0.25">
      <c r="A119">
        <v>881</v>
      </c>
      <c r="B119" t="s">
        <v>835</v>
      </c>
      <c r="C119" t="s">
        <v>654</v>
      </c>
      <c r="D119" t="s">
        <v>836</v>
      </c>
      <c r="E119" t="s">
        <v>664</v>
      </c>
      <c r="F119">
        <v>3243646644</v>
      </c>
    </row>
    <row r="120" spans="1:6" x14ac:dyDescent="0.25">
      <c r="A120">
        <v>883</v>
      </c>
      <c r="B120" t="s">
        <v>837</v>
      </c>
      <c r="C120" t="s">
        <v>607</v>
      </c>
      <c r="D120" t="s">
        <v>838</v>
      </c>
      <c r="E120" t="s">
        <v>839</v>
      </c>
      <c r="F120">
        <v>4932358514</v>
      </c>
    </row>
    <row r="121" spans="1:6" x14ac:dyDescent="0.25">
      <c r="A121">
        <v>735</v>
      </c>
      <c r="B121" t="s">
        <v>659</v>
      </c>
      <c r="C121" t="s">
        <v>600</v>
      </c>
      <c r="D121" t="s">
        <v>840</v>
      </c>
      <c r="E121" t="s">
        <v>635</v>
      </c>
      <c r="F121">
        <v>1419382893</v>
      </c>
    </row>
    <row r="122" spans="1:6" x14ac:dyDescent="0.25">
      <c r="A122">
        <v>120</v>
      </c>
      <c r="B122" t="s">
        <v>841</v>
      </c>
      <c r="C122" t="s">
        <v>590</v>
      </c>
      <c r="D122" t="s">
        <v>842</v>
      </c>
      <c r="E122" t="s">
        <v>843</v>
      </c>
      <c r="F122">
        <v>6456637698</v>
      </c>
    </row>
    <row r="123" spans="1:6" x14ac:dyDescent="0.25">
      <c r="A123">
        <v>92</v>
      </c>
      <c r="B123" t="s">
        <v>844</v>
      </c>
      <c r="C123" t="s">
        <v>750</v>
      </c>
      <c r="D123" t="s">
        <v>845</v>
      </c>
      <c r="E123" t="s">
        <v>585</v>
      </c>
      <c r="F123">
        <v>4615496293</v>
      </c>
    </row>
    <row r="124" spans="1:6" x14ac:dyDescent="0.25">
      <c r="A124">
        <v>618</v>
      </c>
      <c r="B124" t="s">
        <v>809</v>
      </c>
      <c r="C124" t="s">
        <v>654</v>
      </c>
      <c r="D124" t="s">
        <v>846</v>
      </c>
      <c r="E124" t="s">
        <v>757</v>
      </c>
      <c r="F124">
        <v>6419268208</v>
      </c>
    </row>
    <row r="125" spans="1:6" x14ac:dyDescent="0.25">
      <c r="A125">
        <v>768</v>
      </c>
      <c r="B125" t="s">
        <v>847</v>
      </c>
      <c r="C125" t="s">
        <v>590</v>
      </c>
      <c r="D125" t="s">
        <v>848</v>
      </c>
      <c r="E125" t="s">
        <v>585</v>
      </c>
      <c r="F125">
        <v>3258758083</v>
      </c>
    </row>
    <row r="126" spans="1:6" x14ac:dyDescent="0.25">
      <c r="A126">
        <v>619</v>
      </c>
      <c r="B126" t="s">
        <v>849</v>
      </c>
      <c r="C126" t="s">
        <v>600</v>
      </c>
      <c r="D126" t="s">
        <v>850</v>
      </c>
      <c r="E126" t="s">
        <v>683</v>
      </c>
      <c r="F126">
        <v>9823103962</v>
      </c>
    </row>
    <row r="127" spans="1:6" x14ac:dyDescent="0.25">
      <c r="A127">
        <v>393</v>
      </c>
      <c r="B127" t="s">
        <v>271</v>
      </c>
      <c r="C127" t="s">
        <v>654</v>
      </c>
      <c r="D127" t="s">
        <v>851</v>
      </c>
      <c r="E127" t="s">
        <v>585</v>
      </c>
      <c r="F127">
        <v>5931525319</v>
      </c>
    </row>
    <row r="128" spans="1:6" x14ac:dyDescent="0.25">
      <c r="A128">
        <v>127</v>
      </c>
      <c r="B128" t="s">
        <v>271</v>
      </c>
      <c r="C128" t="s">
        <v>642</v>
      </c>
      <c r="D128" t="s">
        <v>852</v>
      </c>
      <c r="E128" t="s">
        <v>644</v>
      </c>
      <c r="F128">
        <v>5199096406</v>
      </c>
    </row>
    <row r="129" spans="1:6" x14ac:dyDescent="0.25">
      <c r="A129">
        <v>329</v>
      </c>
      <c r="B129" t="s">
        <v>853</v>
      </c>
      <c r="C129" t="s">
        <v>726</v>
      </c>
      <c r="D129" t="s">
        <v>854</v>
      </c>
      <c r="E129" t="s">
        <v>644</v>
      </c>
      <c r="F129">
        <v>4926013012</v>
      </c>
    </row>
    <row r="130" spans="1:6" x14ac:dyDescent="0.25">
      <c r="A130">
        <v>839</v>
      </c>
      <c r="B130" t="s">
        <v>855</v>
      </c>
      <c r="C130" t="s">
        <v>642</v>
      </c>
      <c r="D130" t="s">
        <v>856</v>
      </c>
      <c r="E130" t="s">
        <v>757</v>
      </c>
      <c r="F130">
        <v>1385206446</v>
      </c>
    </row>
    <row r="131" spans="1:6" x14ac:dyDescent="0.25">
      <c r="A131">
        <v>787</v>
      </c>
      <c r="B131" t="s">
        <v>844</v>
      </c>
      <c r="C131" t="s">
        <v>633</v>
      </c>
      <c r="D131" t="s">
        <v>857</v>
      </c>
      <c r="E131" t="s">
        <v>765</v>
      </c>
      <c r="F131">
        <v>7592482439</v>
      </c>
    </row>
    <row r="132" spans="1:6" x14ac:dyDescent="0.25">
      <c r="A132">
        <v>658</v>
      </c>
      <c r="B132" t="s">
        <v>283</v>
      </c>
      <c r="C132" t="s">
        <v>654</v>
      </c>
      <c r="D132" t="s">
        <v>858</v>
      </c>
      <c r="E132" t="s">
        <v>757</v>
      </c>
      <c r="F132">
        <v>1575826863</v>
      </c>
    </row>
    <row r="133" spans="1:6" x14ac:dyDescent="0.25">
      <c r="A133">
        <v>302</v>
      </c>
      <c r="B133" t="s">
        <v>859</v>
      </c>
      <c r="C133" t="s">
        <v>726</v>
      </c>
      <c r="D133" t="s">
        <v>860</v>
      </c>
      <c r="E133" t="s">
        <v>644</v>
      </c>
      <c r="F133">
        <v>4826890428</v>
      </c>
    </row>
    <row r="134" spans="1:6" x14ac:dyDescent="0.25">
      <c r="A134">
        <v>959</v>
      </c>
      <c r="B134" t="s">
        <v>861</v>
      </c>
      <c r="C134" t="s">
        <v>619</v>
      </c>
      <c r="D134" t="s">
        <v>862</v>
      </c>
      <c r="E134" t="s">
        <v>716</v>
      </c>
      <c r="F134">
        <v>1171287473</v>
      </c>
    </row>
    <row r="135" spans="1:6" x14ac:dyDescent="0.25">
      <c r="A135">
        <v>467</v>
      </c>
      <c r="B135" t="s">
        <v>863</v>
      </c>
      <c r="C135" t="s">
        <v>600</v>
      </c>
      <c r="D135" t="s">
        <v>864</v>
      </c>
      <c r="E135" t="s">
        <v>757</v>
      </c>
      <c r="F135">
        <v>3594123975</v>
      </c>
    </row>
    <row r="136" spans="1:6" x14ac:dyDescent="0.25">
      <c r="A136">
        <v>642</v>
      </c>
      <c r="B136" t="s">
        <v>865</v>
      </c>
      <c r="C136" t="s">
        <v>600</v>
      </c>
      <c r="D136" t="s">
        <v>866</v>
      </c>
      <c r="E136" t="s">
        <v>658</v>
      </c>
      <c r="F136">
        <v>7051750919</v>
      </c>
    </row>
    <row r="137" spans="1:6" x14ac:dyDescent="0.25">
      <c r="A137">
        <v>472</v>
      </c>
      <c r="B137" t="s">
        <v>867</v>
      </c>
      <c r="C137" t="s">
        <v>592</v>
      </c>
      <c r="D137" t="s">
        <v>868</v>
      </c>
      <c r="E137" t="s">
        <v>821</v>
      </c>
      <c r="F137">
        <v>6886408134</v>
      </c>
    </row>
    <row r="138" spans="1:6" x14ac:dyDescent="0.25">
      <c r="A138">
        <v>700</v>
      </c>
      <c r="B138" t="s">
        <v>869</v>
      </c>
      <c r="C138" t="s">
        <v>610</v>
      </c>
      <c r="D138" t="s">
        <v>870</v>
      </c>
      <c r="E138" t="s">
        <v>733</v>
      </c>
      <c r="F138">
        <v>7077868681</v>
      </c>
    </row>
    <row r="139" spans="1:6" x14ac:dyDescent="0.25">
      <c r="A139">
        <v>305</v>
      </c>
      <c r="B139" t="s">
        <v>61</v>
      </c>
      <c r="C139" t="s">
        <v>662</v>
      </c>
      <c r="D139" t="s">
        <v>871</v>
      </c>
      <c r="E139" t="s">
        <v>598</v>
      </c>
      <c r="F139">
        <v>4425132485</v>
      </c>
    </row>
    <row r="140" spans="1:6" x14ac:dyDescent="0.25">
      <c r="A140">
        <v>676</v>
      </c>
      <c r="B140" t="s">
        <v>872</v>
      </c>
      <c r="C140" t="s">
        <v>603</v>
      </c>
      <c r="D140" t="s">
        <v>873</v>
      </c>
      <c r="E140" t="s">
        <v>874</v>
      </c>
      <c r="F140">
        <v>3975638935</v>
      </c>
    </row>
    <row r="141" spans="1:6" x14ac:dyDescent="0.25">
      <c r="A141">
        <v>602</v>
      </c>
      <c r="B141" t="s">
        <v>875</v>
      </c>
      <c r="C141" t="s">
        <v>684</v>
      </c>
      <c r="D141" t="s">
        <v>876</v>
      </c>
      <c r="E141" t="s">
        <v>730</v>
      </c>
      <c r="F141">
        <v>8049380718</v>
      </c>
    </row>
    <row r="142" spans="1:6" x14ac:dyDescent="0.25">
      <c r="A142">
        <v>175</v>
      </c>
      <c r="B142" t="s">
        <v>877</v>
      </c>
      <c r="C142" t="s">
        <v>619</v>
      </c>
      <c r="D142" t="s">
        <v>878</v>
      </c>
      <c r="E142" t="s">
        <v>644</v>
      </c>
      <c r="F142">
        <v>6417574125</v>
      </c>
    </row>
    <row r="143" spans="1:6" x14ac:dyDescent="0.25">
      <c r="A143">
        <v>679</v>
      </c>
      <c r="B143" t="s">
        <v>451</v>
      </c>
      <c r="C143" t="s">
        <v>669</v>
      </c>
      <c r="D143" t="s">
        <v>715</v>
      </c>
      <c r="E143" t="s">
        <v>588</v>
      </c>
      <c r="F143">
        <v>2458047806</v>
      </c>
    </row>
    <row r="144" spans="1:6" x14ac:dyDescent="0.25">
      <c r="A144">
        <v>412</v>
      </c>
      <c r="B144" t="s">
        <v>709</v>
      </c>
      <c r="C144" t="s">
        <v>600</v>
      </c>
      <c r="D144" t="s">
        <v>879</v>
      </c>
      <c r="E144" t="s">
        <v>591</v>
      </c>
      <c r="F144">
        <v>4345935028</v>
      </c>
    </row>
    <row r="145" spans="1:6" x14ac:dyDescent="0.25">
      <c r="A145">
        <v>486</v>
      </c>
      <c r="B145" t="s">
        <v>880</v>
      </c>
      <c r="C145" t="s">
        <v>669</v>
      </c>
      <c r="D145" t="s">
        <v>881</v>
      </c>
      <c r="E145" t="s">
        <v>733</v>
      </c>
      <c r="F145">
        <v>4167720507</v>
      </c>
    </row>
    <row r="146" spans="1:6" x14ac:dyDescent="0.25">
      <c r="A146">
        <v>899</v>
      </c>
      <c r="B146" t="s">
        <v>882</v>
      </c>
      <c r="C146" t="s">
        <v>642</v>
      </c>
      <c r="D146" t="s">
        <v>883</v>
      </c>
      <c r="E146" t="s">
        <v>658</v>
      </c>
      <c r="F146">
        <v>4565205218</v>
      </c>
    </row>
    <row r="147" spans="1:6" x14ac:dyDescent="0.25">
      <c r="A147">
        <v>123</v>
      </c>
      <c r="B147" t="s">
        <v>884</v>
      </c>
      <c r="C147" t="s">
        <v>619</v>
      </c>
      <c r="D147" t="s">
        <v>186</v>
      </c>
      <c r="E147" t="s">
        <v>598</v>
      </c>
      <c r="F147">
        <v>1029848581</v>
      </c>
    </row>
    <row r="148" spans="1:6" x14ac:dyDescent="0.25">
      <c r="A148">
        <v>180</v>
      </c>
      <c r="B148" t="s">
        <v>567</v>
      </c>
      <c r="C148" t="s">
        <v>619</v>
      </c>
      <c r="D148" t="s">
        <v>885</v>
      </c>
      <c r="E148" t="s">
        <v>733</v>
      </c>
      <c r="F148">
        <v>6076587686</v>
      </c>
    </row>
    <row r="149" spans="1:6" x14ac:dyDescent="0.25">
      <c r="A149">
        <v>433</v>
      </c>
      <c r="B149" t="s">
        <v>567</v>
      </c>
      <c r="C149" t="s">
        <v>592</v>
      </c>
      <c r="D149" t="s">
        <v>886</v>
      </c>
      <c r="E149" t="s">
        <v>887</v>
      </c>
      <c r="F149">
        <v>4382867697</v>
      </c>
    </row>
    <row r="150" spans="1:6" x14ac:dyDescent="0.25">
      <c r="A150">
        <v>244</v>
      </c>
      <c r="B150" t="s">
        <v>888</v>
      </c>
      <c r="C150" t="s">
        <v>592</v>
      </c>
      <c r="D150" t="s">
        <v>889</v>
      </c>
      <c r="E150" t="s">
        <v>757</v>
      </c>
      <c r="F150">
        <v>8529787345</v>
      </c>
    </row>
    <row r="151" spans="1:6" x14ac:dyDescent="0.25">
      <c r="A151">
        <v>147</v>
      </c>
      <c r="B151" t="s">
        <v>187</v>
      </c>
      <c r="C151" t="s">
        <v>637</v>
      </c>
      <c r="D151" t="s">
        <v>890</v>
      </c>
      <c r="E151" t="s">
        <v>656</v>
      </c>
      <c r="F151">
        <v>2933328030</v>
      </c>
    </row>
    <row r="152" spans="1:6" x14ac:dyDescent="0.25">
      <c r="A152">
        <v>634</v>
      </c>
      <c r="B152" t="s">
        <v>680</v>
      </c>
      <c r="C152" t="s">
        <v>600</v>
      </c>
      <c r="D152" t="s">
        <v>891</v>
      </c>
      <c r="E152" t="s">
        <v>649</v>
      </c>
      <c r="F152">
        <v>1549574380</v>
      </c>
    </row>
    <row r="153" spans="1:6" x14ac:dyDescent="0.25">
      <c r="A153">
        <v>999</v>
      </c>
      <c r="B153" t="s">
        <v>892</v>
      </c>
      <c r="C153" t="s">
        <v>633</v>
      </c>
      <c r="D153" t="s">
        <v>852</v>
      </c>
      <c r="E153" t="s">
        <v>829</v>
      </c>
      <c r="F153">
        <v>5348595059</v>
      </c>
    </row>
    <row r="154" spans="1:6" x14ac:dyDescent="0.25">
      <c r="A154">
        <v>477</v>
      </c>
      <c r="B154" t="s">
        <v>893</v>
      </c>
      <c r="C154" t="s">
        <v>633</v>
      </c>
      <c r="D154" t="s">
        <v>894</v>
      </c>
      <c r="E154" t="s">
        <v>821</v>
      </c>
      <c r="F154">
        <v>8326159645</v>
      </c>
    </row>
    <row r="155" spans="1:6" x14ac:dyDescent="0.25">
      <c r="A155">
        <v>746</v>
      </c>
      <c r="B155" t="s">
        <v>151</v>
      </c>
      <c r="C155" t="s">
        <v>678</v>
      </c>
      <c r="D155" t="s">
        <v>895</v>
      </c>
      <c r="E155" t="s">
        <v>757</v>
      </c>
      <c r="F155">
        <v>4303568430</v>
      </c>
    </row>
    <row r="156" spans="1:6" x14ac:dyDescent="0.25">
      <c r="A156">
        <v>287</v>
      </c>
      <c r="B156" t="s">
        <v>896</v>
      </c>
      <c r="C156" t="s">
        <v>669</v>
      </c>
      <c r="D156" t="s">
        <v>897</v>
      </c>
      <c r="E156" t="s">
        <v>898</v>
      </c>
      <c r="F156">
        <v>4386754323</v>
      </c>
    </row>
    <row r="157" spans="1:6" x14ac:dyDescent="0.25">
      <c r="A157">
        <v>310</v>
      </c>
      <c r="B157" t="s">
        <v>899</v>
      </c>
      <c r="C157" t="s">
        <v>755</v>
      </c>
      <c r="D157" t="s">
        <v>900</v>
      </c>
      <c r="E157" t="s">
        <v>644</v>
      </c>
      <c r="F157">
        <v>8824594477</v>
      </c>
    </row>
    <row r="158" spans="1:6" x14ac:dyDescent="0.25">
      <c r="A158">
        <v>889</v>
      </c>
      <c r="B158" t="s">
        <v>901</v>
      </c>
      <c r="C158" t="s">
        <v>592</v>
      </c>
      <c r="D158" t="s">
        <v>902</v>
      </c>
      <c r="E158" t="s">
        <v>652</v>
      </c>
      <c r="F158">
        <v>1096489886</v>
      </c>
    </row>
    <row r="159" spans="1:6" x14ac:dyDescent="0.25">
      <c r="A159">
        <v>512</v>
      </c>
      <c r="B159" t="s">
        <v>903</v>
      </c>
      <c r="C159" t="s">
        <v>675</v>
      </c>
      <c r="D159" t="s">
        <v>904</v>
      </c>
      <c r="E159" t="s">
        <v>602</v>
      </c>
      <c r="F159">
        <v>3305516916</v>
      </c>
    </row>
    <row r="160" spans="1:6" x14ac:dyDescent="0.25">
      <c r="A160">
        <v>693</v>
      </c>
      <c r="B160" t="s">
        <v>905</v>
      </c>
      <c r="C160" t="s">
        <v>596</v>
      </c>
      <c r="D160" t="s">
        <v>906</v>
      </c>
      <c r="E160" t="s">
        <v>752</v>
      </c>
      <c r="F160">
        <v>6982317596</v>
      </c>
    </row>
    <row r="161" spans="1:6" x14ac:dyDescent="0.25">
      <c r="A161">
        <v>670</v>
      </c>
      <c r="B161" t="s">
        <v>512</v>
      </c>
      <c r="C161" t="s">
        <v>619</v>
      </c>
      <c r="D161" t="s">
        <v>907</v>
      </c>
      <c r="E161" t="s">
        <v>721</v>
      </c>
      <c r="F161">
        <v>6215794970</v>
      </c>
    </row>
    <row r="162" spans="1:6" x14ac:dyDescent="0.25">
      <c r="A162">
        <v>238</v>
      </c>
      <c r="B162" t="s">
        <v>908</v>
      </c>
      <c r="C162" t="s">
        <v>603</v>
      </c>
      <c r="D162" t="s">
        <v>909</v>
      </c>
      <c r="E162" t="s">
        <v>602</v>
      </c>
      <c r="F162">
        <v>2452732341</v>
      </c>
    </row>
    <row r="163" spans="1:6" x14ac:dyDescent="0.25">
      <c r="A163">
        <v>400</v>
      </c>
      <c r="B163" t="s">
        <v>910</v>
      </c>
      <c r="C163" t="s">
        <v>603</v>
      </c>
      <c r="D163" t="s">
        <v>911</v>
      </c>
      <c r="E163" t="s">
        <v>912</v>
      </c>
      <c r="F163">
        <v>1402030924</v>
      </c>
    </row>
    <row r="164" spans="1:6" x14ac:dyDescent="0.25">
      <c r="A164">
        <v>398</v>
      </c>
      <c r="B164" t="s">
        <v>913</v>
      </c>
      <c r="C164" t="s">
        <v>726</v>
      </c>
      <c r="D164" t="s">
        <v>914</v>
      </c>
      <c r="E164" t="s">
        <v>598</v>
      </c>
      <c r="F164">
        <v>1812999737</v>
      </c>
    </row>
    <row r="165" spans="1:6" x14ac:dyDescent="0.25">
      <c r="A165">
        <v>955</v>
      </c>
      <c r="B165" t="s">
        <v>350</v>
      </c>
      <c r="C165" t="s">
        <v>669</v>
      </c>
      <c r="D165" t="s">
        <v>915</v>
      </c>
      <c r="E165" t="s">
        <v>757</v>
      </c>
      <c r="F165">
        <v>6234964560</v>
      </c>
    </row>
    <row r="166" spans="1:6" x14ac:dyDescent="0.25">
      <c r="A166">
        <v>193</v>
      </c>
      <c r="B166" t="s">
        <v>916</v>
      </c>
      <c r="C166" t="s">
        <v>592</v>
      </c>
      <c r="D166" t="s">
        <v>917</v>
      </c>
      <c r="E166" t="s">
        <v>658</v>
      </c>
      <c r="F166">
        <v>2906446799</v>
      </c>
    </row>
    <row r="167" spans="1:6" x14ac:dyDescent="0.25">
      <c r="A167">
        <v>33</v>
      </c>
      <c r="B167" t="s">
        <v>496</v>
      </c>
      <c r="C167" t="s">
        <v>678</v>
      </c>
      <c r="D167" t="s">
        <v>918</v>
      </c>
      <c r="E167" t="s">
        <v>588</v>
      </c>
      <c r="F167">
        <v>6522949251</v>
      </c>
    </row>
    <row r="168" spans="1:6" x14ac:dyDescent="0.25">
      <c r="A168">
        <v>786</v>
      </c>
      <c r="B168" t="s">
        <v>884</v>
      </c>
      <c r="C168" t="s">
        <v>657</v>
      </c>
      <c r="D168" t="s">
        <v>742</v>
      </c>
      <c r="E168" t="s">
        <v>591</v>
      </c>
      <c r="F168">
        <v>3669773727</v>
      </c>
    </row>
    <row r="169" spans="1:6" x14ac:dyDescent="0.25">
      <c r="A169">
        <v>811</v>
      </c>
      <c r="B169" t="s">
        <v>919</v>
      </c>
      <c r="C169" t="s">
        <v>590</v>
      </c>
      <c r="D169" t="s">
        <v>920</v>
      </c>
      <c r="E169" t="s">
        <v>621</v>
      </c>
      <c r="F169">
        <v>3993420544</v>
      </c>
    </row>
    <row r="170" spans="1:6" x14ac:dyDescent="0.25">
      <c r="A170">
        <v>615</v>
      </c>
      <c r="B170" t="s">
        <v>921</v>
      </c>
      <c r="C170" t="s">
        <v>669</v>
      </c>
      <c r="D170" t="s">
        <v>922</v>
      </c>
      <c r="E170" t="s">
        <v>656</v>
      </c>
      <c r="F170">
        <v>5372626672</v>
      </c>
    </row>
    <row r="171" spans="1:6" x14ac:dyDescent="0.25">
      <c r="A171">
        <v>18</v>
      </c>
      <c r="B171" t="s">
        <v>202</v>
      </c>
      <c r="C171" t="s">
        <v>600</v>
      </c>
      <c r="D171" t="s">
        <v>907</v>
      </c>
      <c r="E171" t="s">
        <v>736</v>
      </c>
      <c r="F171">
        <v>8311555346</v>
      </c>
    </row>
    <row r="172" spans="1:6" x14ac:dyDescent="0.25">
      <c r="A172">
        <v>114</v>
      </c>
      <c r="B172" t="s">
        <v>923</v>
      </c>
      <c r="C172" t="s">
        <v>592</v>
      </c>
      <c r="D172" t="s">
        <v>924</v>
      </c>
      <c r="E172" t="s">
        <v>765</v>
      </c>
      <c r="F172">
        <v>7612488075</v>
      </c>
    </row>
    <row r="173" spans="1:6" x14ac:dyDescent="0.25">
      <c r="A173">
        <v>340</v>
      </c>
      <c r="B173" t="s">
        <v>268</v>
      </c>
      <c r="C173" t="s">
        <v>675</v>
      </c>
      <c r="D173" t="s">
        <v>925</v>
      </c>
      <c r="E173" t="s">
        <v>598</v>
      </c>
      <c r="F173">
        <v>6431033790</v>
      </c>
    </row>
    <row r="174" spans="1:6" x14ac:dyDescent="0.25">
      <c r="A174">
        <v>649</v>
      </c>
      <c r="B174" t="s">
        <v>926</v>
      </c>
      <c r="C174" t="s">
        <v>586</v>
      </c>
      <c r="D174" t="s">
        <v>927</v>
      </c>
      <c r="E174" t="s">
        <v>739</v>
      </c>
      <c r="F174">
        <v>7665617991</v>
      </c>
    </row>
    <row r="175" spans="1:6" x14ac:dyDescent="0.25">
      <c r="A175">
        <v>778</v>
      </c>
      <c r="B175" t="s">
        <v>928</v>
      </c>
      <c r="C175" t="s">
        <v>583</v>
      </c>
      <c r="D175" t="s">
        <v>929</v>
      </c>
      <c r="E175" t="s">
        <v>585</v>
      </c>
      <c r="F175">
        <v>4815198694</v>
      </c>
    </row>
    <row r="176" spans="1:6" x14ac:dyDescent="0.25">
      <c r="A176">
        <v>885</v>
      </c>
      <c r="B176" t="s">
        <v>665</v>
      </c>
      <c r="C176" t="s">
        <v>623</v>
      </c>
      <c r="D176" t="s">
        <v>930</v>
      </c>
      <c r="E176" t="s">
        <v>664</v>
      </c>
      <c r="F176">
        <v>9875605267</v>
      </c>
    </row>
    <row r="177" spans="1:6" x14ac:dyDescent="0.25">
      <c r="A177">
        <v>69</v>
      </c>
      <c r="B177" t="s">
        <v>931</v>
      </c>
      <c r="C177" t="s">
        <v>583</v>
      </c>
      <c r="D177" t="s">
        <v>932</v>
      </c>
      <c r="E177" t="s">
        <v>625</v>
      </c>
      <c r="F177">
        <v>5913610613</v>
      </c>
    </row>
    <row r="178" spans="1:6" x14ac:dyDescent="0.25">
      <c r="A178">
        <v>288</v>
      </c>
      <c r="B178" t="s">
        <v>933</v>
      </c>
      <c r="C178" t="s">
        <v>627</v>
      </c>
      <c r="D178" t="s">
        <v>934</v>
      </c>
      <c r="E178" t="s">
        <v>613</v>
      </c>
      <c r="F178">
        <v>7009589164</v>
      </c>
    </row>
    <row r="179" spans="1:6" x14ac:dyDescent="0.25">
      <c r="A179">
        <v>898</v>
      </c>
      <c r="B179" t="s">
        <v>142</v>
      </c>
      <c r="C179" t="s">
        <v>633</v>
      </c>
      <c r="D179" t="s">
        <v>935</v>
      </c>
      <c r="E179" t="s">
        <v>721</v>
      </c>
      <c r="F179">
        <v>3097734889</v>
      </c>
    </row>
    <row r="180" spans="1:6" x14ac:dyDescent="0.25">
      <c r="A180">
        <v>473</v>
      </c>
      <c r="B180" t="s">
        <v>936</v>
      </c>
      <c r="C180" t="s">
        <v>637</v>
      </c>
      <c r="D180" t="s">
        <v>937</v>
      </c>
      <c r="E180" t="s">
        <v>721</v>
      </c>
      <c r="F180">
        <v>3349318383</v>
      </c>
    </row>
    <row r="181" spans="1:6" x14ac:dyDescent="0.25">
      <c r="A181">
        <v>23</v>
      </c>
      <c r="B181" t="s">
        <v>938</v>
      </c>
      <c r="C181" t="s">
        <v>615</v>
      </c>
      <c r="D181" t="s">
        <v>939</v>
      </c>
      <c r="E181" t="s">
        <v>585</v>
      </c>
      <c r="F181">
        <v>2261795235</v>
      </c>
    </row>
    <row r="182" spans="1:6" x14ac:dyDescent="0.25">
      <c r="A182">
        <v>505</v>
      </c>
      <c r="B182" t="s">
        <v>940</v>
      </c>
      <c r="C182" t="s">
        <v>607</v>
      </c>
      <c r="D182" t="s">
        <v>941</v>
      </c>
      <c r="E182" t="s">
        <v>667</v>
      </c>
      <c r="F182">
        <v>8692599127</v>
      </c>
    </row>
    <row r="183" spans="1:6" x14ac:dyDescent="0.25">
      <c r="A183">
        <v>401</v>
      </c>
      <c r="B183" t="s">
        <v>942</v>
      </c>
      <c r="C183" t="s">
        <v>590</v>
      </c>
      <c r="D183" t="s">
        <v>943</v>
      </c>
      <c r="E183" t="s">
        <v>649</v>
      </c>
      <c r="F183">
        <v>3288511772</v>
      </c>
    </row>
    <row r="184" spans="1:6" x14ac:dyDescent="0.25">
      <c r="A184">
        <v>988</v>
      </c>
      <c r="B184" t="s">
        <v>944</v>
      </c>
      <c r="C184" t="s">
        <v>610</v>
      </c>
      <c r="D184" t="s">
        <v>945</v>
      </c>
      <c r="E184" t="s">
        <v>946</v>
      </c>
      <c r="F184">
        <v>9918649402</v>
      </c>
    </row>
    <row r="185" spans="1:6" x14ac:dyDescent="0.25">
      <c r="A185">
        <v>493</v>
      </c>
      <c r="B185" t="s">
        <v>947</v>
      </c>
      <c r="C185" t="s">
        <v>590</v>
      </c>
      <c r="D185" t="s">
        <v>948</v>
      </c>
      <c r="E185" t="s">
        <v>629</v>
      </c>
      <c r="F185">
        <v>5243247634</v>
      </c>
    </row>
    <row r="186" spans="1:6" x14ac:dyDescent="0.25">
      <c r="A186">
        <v>432</v>
      </c>
      <c r="B186" t="s">
        <v>949</v>
      </c>
      <c r="C186" t="s">
        <v>586</v>
      </c>
      <c r="D186" t="s">
        <v>950</v>
      </c>
      <c r="E186" t="s">
        <v>605</v>
      </c>
      <c r="F186">
        <v>1058029786</v>
      </c>
    </row>
    <row r="187" spans="1:6" x14ac:dyDescent="0.25">
      <c r="A187">
        <v>948</v>
      </c>
      <c r="B187" t="s">
        <v>863</v>
      </c>
      <c r="C187" t="s">
        <v>586</v>
      </c>
      <c r="D187" t="s">
        <v>951</v>
      </c>
      <c r="E187" t="s">
        <v>757</v>
      </c>
      <c r="F187">
        <v>2276744816</v>
      </c>
    </row>
    <row r="188" spans="1:6" x14ac:dyDescent="0.25">
      <c r="A188">
        <v>821</v>
      </c>
      <c r="B188" t="s">
        <v>952</v>
      </c>
      <c r="C188" t="s">
        <v>627</v>
      </c>
      <c r="D188" t="s">
        <v>953</v>
      </c>
      <c r="E188" t="s">
        <v>757</v>
      </c>
      <c r="F188">
        <v>6595878396</v>
      </c>
    </row>
    <row r="189" spans="1:6" x14ac:dyDescent="0.25">
      <c r="A189">
        <v>435</v>
      </c>
      <c r="B189" t="s">
        <v>954</v>
      </c>
      <c r="C189" t="s">
        <v>654</v>
      </c>
      <c r="D189" t="s">
        <v>21</v>
      </c>
      <c r="E189" t="s">
        <v>591</v>
      </c>
      <c r="F189">
        <v>9703448223</v>
      </c>
    </row>
    <row r="190" spans="1:6" x14ac:dyDescent="0.25">
      <c r="A190">
        <v>11</v>
      </c>
      <c r="B190" t="s">
        <v>550</v>
      </c>
      <c r="C190" t="s">
        <v>642</v>
      </c>
      <c r="D190" t="s">
        <v>955</v>
      </c>
      <c r="E190" t="s">
        <v>956</v>
      </c>
      <c r="F190">
        <v>7945949825</v>
      </c>
    </row>
    <row r="191" spans="1:6" x14ac:dyDescent="0.25">
      <c r="A191">
        <v>204</v>
      </c>
      <c r="B191" t="s">
        <v>957</v>
      </c>
      <c r="C191" t="s">
        <v>675</v>
      </c>
      <c r="D191" t="s">
        <v>21</v>
      </c>
      <c r="E191" t="s">
        <v>585</v>
      </c>
      <c r="F191">
        <v>4209429743</v>
      </c>
    </row>
    <row r="192" spans="1:6" x14ac:dyDescent="0.25">
      <c r="A192">
        <v>332</v>
      </c>
      <c r="B192" t="s">
        <v>410</v>
      </c>
      <c r="C192" t="s">
        <v>603</v>
      </c>
      <c r="D192" t="s">
        <v>21</v>
      </c>
      <c r="E192" t="s">
        <v>664</v>
      </c>
      <c r="F192">
        <v>9621041593</v>
      </c>
    </row>
    <row r="193" spans="1:6" x14ac:dyDescent="0.25">
      <c r="A193">
        <v>179</v>
      </c>
      <c r="B193" t="s">
        <v>778</v>
      </c>
      <c r="C193" t="s">
        <v>623</v>
      </c>
      <c r="D193" t="s">
        <v>958</v>
      </c>
      <c r="E193" t="s">
        <v>585</v>
      </c>
      <c r="F193">
        <v>9768020592</v>
      </c>
    </row>
    <row r="194" spans="1:6" x14ac:dyDescent="0.25">
      <c r="A194">
        <v>503</v>
      </c>
      <c r="B194" t="s">
        <v>959</v>
      </c>
      <c r="C194" t="s">
        <v>675</v>
      </c>
      <c r="D194" t="s">
        <v>960</v>
      </c>
      <c r="E194" t="s">
        <v>677</v>
      </c>
      <c r="F194">
        <v>1791431137</v>
      </c>
    </row>
    <row r="195" spans="1:6" x14ac:dyDescent="0.25">
      <c r="A195">
        <v>431</v>
      </c>
      <c r="B195" t="s">
        <v>882</v>
      </c>
      <c r="C195" t="s">
        <v>750</v>
      </c>
      <c r="D195" t="s">
        <v>961</v>
      </c>
      <c r="E195" t="s">
        <v>588</v>
      </c>
      <c r="F195">
        <v>7461936580</v>
      </c>
    </row>
    <row r="196" spans="1:6" x14ac:dyDescent="0.25">
      <c r="A196">
        <v>865</v>
      </c>
      <c r="B196" t="s">
        <v>962</v>
      </c>
      <c r="C196" t="s">
        <v>675</v>
      </c>
      <c r="D196" t="s">
        <v>963</v>
      </c>
      <c r="E196" t="s">
        <v>874</v>
      </c>
      <c r="F196">
        <v>6828905297</v>
      </c>
    </row>
    <row r="197" spans="1:6" x14ac:dyDescent="0.25">
      <c r="A197">
        <v>874</v>
      </c>
      <c r="B197" t="s">
        <v>399</v>
      </c>
      <c r="C197" t="s">
        <v>633</v>
      </c>
      <c r="D197" t="s">
        <v>964</v>
      </c>
      <c r="E197" t="s">
        <v>629</v>
      </c>
      <c r="F197">
        <v>2273691148</v>
      </c>
    </row>
    <row r="198" spans="1:6" x14ac:dyDescent="0.25">
      <c r="A198">
        <v>513</v>
      </c>
      <c r="B198" t="s">
        <v>103</v>
      </c>
      <c r="C198" t="s">
        <v>657</v>
      </c>
      <c r="D198" t="s">
        <v>960</v>
      </c>
      <c r="E198" t="s">
        <v>658</v>
      </c>
      <c r="F198">
        <v>5144195389</v>
      </c>
    </row>
    <row r="199" spans="1:6" x14ac:dyDescent="0.25">
      <c r="A199">
        <v>814</v>
      </c>
      <c r="B199" t="s">
        <v>810</v>
      </c>
      <c r="C199" t="s">
        <v>774</v>
      </c>
      <c r="D199" t="s">
        <v>965</v>
      </c>
      <c r="E199" t="s">
        <v>602</v>
      </c>
      <c r="F199">
        <v>7057705428</v>
      </c>
    </row>
    <row r="200" spans="1:6" x14ac:dyDescent="0.25">
      <c r="A200">
        <v>236</v>
      </c>
      <c r="B200" t="s">
        <v>769</v>
      </c>
      <c r="C200" t="s">
        <v>669</v>
      </c>
      <c r="D200" t="s">
        <v>966</v>
      </c>
      <c r="E200" t="s">
        <v>585</v>
      </c>
      <c r="F200">
        <v>2261152495</v>
      </c>
    </row>
    <row r="201" spans="1:6" x14ac:dyDescent="0.25">
      <c r="A201">
        <v>957</v>
      </c>
      <c r="B201" t="s">
        <v>967</v>
      </c>
      <c r="C201" t="s">
        <v>633</v>
      </c>
      <c r="D201" t="s">
        <v>968</v>
      </c>
      <c r="E201" t="s">
        <v>644</v>
      </c>
      <c r="F201">
        <v>1160558300</v>
      </c>
    </row>
  </sheetData>
  <dataValidations count="1">
    <dataValidation type="list" allowBlank="1" showInputMessage="1" showErrorMessage="1" sqref="I2:I5" xr:uid="{B752FE29-A993-4E1F-9ED7-7AF0D6D2F1B7}">
      <formula1>$A$2:$A$201</formula1>
    </dataValidation>
  </dataValidation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7E145-CAA2-4543-A3CE-22809A6B40EA}">
  <dimension ref="A1:L201"/>
  <sheetViews>
    <sheetView topLeftCell="D1" workbookViewId="0">
      <selection activeCell="I2" sqref="I2"/>
    </sheetView>
  </sheetViews>
  <sheetFormatPr defaultRowHeight="15" x14ac:dyDescent="0.25"/>
  <cols>
    <col min="1" max="1" width="7.5703125" bestFit="1" customWidth="1"/>
    <col min="2" max="2" width="7.7109375" bestFit="1" customWidth="1"/>
    <col min="3" max="3" width="10.85546875" bestFit="1" customWidth="1"/>
    <col min="4" max="4" width="26.28515625" bestFit="1" customWidth="1"/>
    <col min="5" max="5" width="14.140625" bestFit="1" customWidth="1"/>
    <col min="6" max="6" width="27.140625" customWidth="1"/>
    <col min="7" max="7" width="14.5703125" bestFit="1" customWidth="1"/>
    <col min="8" max="8" width="15" customWidth="1"/>
    <col min="9" max="9" width="26" bestFit="1" customWidth="1"/>
    <col min="10" max="10" width="24.85546875" bestFit="1" customWidth="1"/>
    <col min="11" max="11" width="24.140625" bestFit="1" customWidth="1"/>
    <col min="12" max="12" width="23.7109375" bestFit="1" customWidth="1"/>
  </cols>
  <sheetData>
    <row r="1" spans="1:12" x14ac:dyDescent="0.25">
      <c r="A1" t="s">
        <v>0</v>
      </c>
      <c r="B1" t="s">
        <v>1</v>
      </c>
      <c r="C1" t="s">
        <v>2</v>
      </c>
      <c r="D1" t="s">
        <v>3</v>
      </c>
      <c r="E1" t="s">
        <v>4</v>
      </c>
      <c r="F1" t="s">
        <v>5</v>
      </c>
      <c r="G1" t="s">
        <v>6</v>
      </c>
      <c r="H1" t="s">
        <v>1527</v>
      </c>
      <c r="I1" t="s">
        <v>1526</v>
      </c>
      <c r="J1" s="1" t="s">
        <v>1528</v>
      </c>
      <c r="K1" s="1" t="s">
        <v>1529</v>
      </c>
      <c r="L1" t="s">
        <v>1536</v>
      </c>
    </row>
    <row r="2" spans="1:12" x14ac:dyDescent="0.25">
      <c r="A2">
        <v>230</v>
      </c>
      <c r="B2">
        <v>31</v>
      </c>
      <c r="C2" t="s">
        <v>7</v>
      </c>
      <c r="D2" t="s">
        <v>8</v>
      </c>
      <c r="E2" t="s">
        <v>9</v>
      </c>
      <c r="F2" t="s">
        <v>10</v>
      </c>
      <c r="G2">
        <v>9961255787</v>
      </c>
      <c r="H2" t="str">
        <f>PROPER(Customer[[#This Row],[C_NAME]])</f>
        <v>Mitchell</v>
      </c>
      <c r="I2" t="str">
        <f>LOWER(Customer[[#This Row],[C_EMAIL_ID]])</f>
        <v>harriette42@ymail.com</v>
      </c>
      <c r="J2" s="1">
        <f>_xlfn.XLOOKUP(B2,Membership!A:A,Membership!B:B)</f>
        <v>29164</v>
      </c>
      <c r="K2" s="1">
        <f>_xlfn.XLOOKUP(B2,Membership!A:A,Membership!C:C)</f>
        <v>30452</v>
      </c>
      <c r="L2">
        <f t="shared" ref="L2:L33" si="0">DATEDIF(J2,K2,"Y")</f>
        <v>3</v>
      </c>
    </row>
    <row r="3" spans="1:12" x14ac:dyDescent="0.25">
      <c r="A3">
        <v>3189</v>
      </c>
      <c r="B3">
        <v>495</v>
      </c>
      <c r="C3" t="s">
        <v>11</v>
      </c>
      <c r="D3" t="s">
        <v>12</v>
      </c>
      <c r="E3" t="s">
        <v>13</v>
      </c>
      <c r="F3" t="s">
        <v>14</v>
      </c>
      <c r="G3">
        <v>3555176867</v>
      </c>
      <c r="H3" t="str">
        <f>PROPER(Customer[[#This Row],[C_NAME]])</f>
        <v>Reginald</v>
      </c>
      <c r="I3" t="str">
        <f>LOWER(Customer[[#This Row],[C_EMAIL_ID]])</f>
        <v>matthew951@yahoo.co.in</v>
      </c>
      <c r="J3" s="1">
        <f>_xlfn.XLOOKUP(B3,Membership!A:A,Membership!B:B)</f>
        <v>41908</v>
      </c>
      <c r="K3" s="1">
        <f>_xlfn.XLOOKUP(B3,Membership!A:A,Membership!C:C)</f>
        <v>49045</v>
      </c>
      <c r="L3">
        <f t="shared" si="0"/>
        <v>19</v>
      </c>
    </row>
    <row r="4" spans="1:12" x14ac:dyDescent="0.25">
      <c r="A4">
        <v>2216</v>
      </c>
      <c r="B4">
        <v>795</v>
      </c>
      <c r="C4" t="s">
        <v>15</v>
      </c>
      <c r="D4" t="s">
        <v>16</v>
      </c>
      <c r="E4" t="s">
        <v>17</v>
      </c>
      <c r="F4" t="s">
        <v>18</v>
      </c>
      <c r="G4">
        <v>9835395970</v>
      </c>
      <c r="H4" t="str">
        <f>PROPER(Customer[[#This Row],[C_NAME]])</f>
        <v>Jaylene</v>
      </c>
      <c r="I4" t="str">
        <f>LOWER(Customer[[#This Row],[C_EMAIL_ID]])</f>
        <v>geraldine867@ymail.co.in</v>
      </c>
      <c r="J4" s="1">
        <f>_xlfn.XLOOKUP(B4,Membership!A:A,Membership!B:B)</f>
        <v>30612</v>
      </c>
      <c r="K4" s="1">
        <f>_xlfn.XLOOKUP(B4,Membership!A:A,Membership!C:C)</f>
        <v>37450</v>
      </c>
      <c r="L4">
        <f t="shared" si="0"/>
        <v>18</v>
      </c>
    </row>
    <row r="5" spans="1:12" x14ac:dyDescent="0.25">
      <c r="A5">
        <v>1904</v>
      </c>
      <c r="B5">
        <v>33</v>
      </c>
      <c r="C5" t="s">
        <v>19</v>
      </c>
      <c r="D5" t="s">
        <v>20</v>
      </c>
      <c r="E5" t="s">
        <v>9</v>
      </c>
      <c r="F5" t="s">
        <v>21</v>
      </c>
      <c r="G5">
        <v>3881250181</v>
      </c>
      <c r="H5" t="str">
        <f>PROPER(Customer[[#This Row],[C_NAME]])</f>
        <v>Stacie</v>
      </c>
      <c r="I5" t="str">
        <f>LOWER(Customer[[#This Row],[C_EMAIL_ID]])</f>
        <v>brenda905@ymail.com</v>
      </c>
      <c r="J5" s="1">
        <f>_xlfn.XLOOKUP(B5,Membership!A:A,Membership!B:B)</f>
        <v>34491</v>
      </c>
      <c r="K5" s="1">
        <f>_xlfn.XLOOKUP(B5,Membership!A:A,Membership!C:C)</f>
        <v>41061</v>
      </c>
      <c r="L5">
        <f t="shared" si="0"/>
        <v>17</v>
      </c>
    </row>
    <row r="6" spans="1:12" x14ac:dyDescent="0.25">
      <c r="A6">
        <v>7342</v>
      </c>
      <c r="B6">
        <v>882</v>
      </c>
      <c r="C6" t="s">
        <v>22</v>
      </c>
      <c r="D6" t="s">
        <v>23</v>
      </c>
      <c r="E6" t="s">
        <v>13</v>
      </c>
      <c r="F6" t="s">
        <v>24</v>
      </c>
      <c r="G6">
        <v>1507211823</v>
      </c>
      <c r="H6" t="str">
        <f>PROPER(Customer[[#This Row],[C_NAME]])</f>
        <v>Jonathan</v>
      </c>
      <c r="I6" t="str">
        <f>LOWER(Customer[[#This Row],[C_EMAIL_ID]])</f>
        <v>malie282@gmail.com</v>
      </c>
      <c r="J6" s="1">
        <f>_xlfn.XLOOKUP(B6,Membership!A:A,Membership!B:B)</f>
        <v>37044</v>
      </c>
      <c r="K6" s="1">
        <f>_xlfn.XLOOKUP(B6,Membership!A:A,Membership!C:C)</f>
        <v>41846</v>
      </c>
      <c r="L6">
        <f t="shared" si="0"/>
        <v>13</v>
      </c>
    </row>
    <row r="7" spans="1:12" x14ac:dyDescent="0.25">
      <c r="A7">
        <v>7633</v>
      </c>
      <c r="B7">
        <v>657</v>
      </c>
      <c r="C7" t="s">
        <v>25</v>
      </c>
      <c r="D7" t="s">
        <v>26</v>
      </c>
      <c r="E7" t="s">
        <v>9</v>
      </c>
      <c r="F7" t="s">
        <v>27</v>
      </c>
      <c r="G7">
        <v>5612381477</v>
      </c>
      <c r="H7" t="str">
        <f>PROPER(Customer[[#This Row],[C_NAME]])</f>
        <v>Italia</v>
      </c>
      <c r="I7" t="str">
        <f>LOWER(Customer[[#This Row],[C_EMAIL_ID]])</f>
        <v>fred847@google.co.in</v>
      </c>
      <c r="J7" s="1">
        <f>_xlfn.XLOOKUP(B7,Membership!A:A,Membership!B:B)</f>
        <v>31583</v>
      </c>
      <c r="K7" s="1">
        <f>_xlfn.XLOOKUP(B7,Membership!A:A,Membership!C:C)</f>
        <v>38920</v>
      </c>
      <c r="L7">
        <f t="shared" si="0"/>
        <v>20</v>
      </c>
    </row>
    <row r="8" spans="1:12" x14ac:dyDescent="0.25">
      <c r="A8">
        <v>2154</v>
      </c>
      <c r="B8">
        <v>761</v>
      </c>
      <c r="C8" t="s">
        <v>28</v>
      </c>
      <c r="D8" t="s">
        <v>29</v>
      </c>
      <c r="E8" t="s">
        <v>13</v>
      </c>
      <c r="F8" t="s">
        <v>30</v>
      </c>
      <c r="G8">
        <v>8094222335</v>
      </c>
      <c r="H8" t="str">
        <f>PROPER(Customer[[#This Row],[C_NAME]])</f>
        <v>Catherine</v>
      </c>
      <c r="I8" t="str">
        <f>LOWER(Customer[[#This Row],[C_EMAIL_ID]])</f>
        <v>clay224@gmail.com</v>
      </c>
      <c r="J8" s="1">
        <f>_xlfn.XLOOKUP(B8,Membership!A:A,Membership!B:B)</f>
        <v>27099</v>
      </c>
      <c r="K8" s="1">
        <f>_xlfn.XLOOKUP(B8,Membership!A:A,Membership!C:C)</f>
        <v>29521</v>
      </c>
      <c r="L8">
        <f t="shared" si="0"/>
        <v>6</v>
      </c>
    </row>
    <row r="9" spans="1:12" x14ac:dyDescent="0.25">
      <c r="A9">
        <v>5543</v>
      </c>
      <c r="B9">
        <v>20</v>
      </c>
      <c r="C9" t="s">
        <v>31</v>
      </c>
      <c r="D9" t="s">
        <v>32</v>
      </c>
      <c r="E9" t="s">
        <v>13</v>
      </c>
      <c r="F9" t="s">
        <v>33</v>
      </c>
      <c r="G9">
        <v>4133741447</v>
      </c>
      <c r="H9" t="str">
        <f>PROPER(Customer[[#This Row],[C_NAME]])</f>
        <v>Pierre</v>
      </c>
      <c r="I9" t="str">
        <f>LOWER(Customer[[#This Row],[C_EMAIL_ID]])</f>
        <v>alaysha578@hotmail.com</v>
      </c>
      <c r="J9" s="1">
        <f>_xlfn.XLOOKUP(B9,Membership!A:A,Membership!B:B)</f>
        <v>26261</v>
      </c>
      <c r="K9" s="1">
        <f>_xlfn.XLOOKUP(B9,Membership!A:A,Membership!C:C)</f>
        <v>31010</v>
      </c>
      <c r="L9">
        <f t="shared" si="0"/>
        <v>13</v>
      </c>
    </row>
    <row r="10" spans="1:12" x14ac:dyDescent="0.25">
      <c r="A10">
        <v>2332</v>
      </c>
      <c r="B10">
        <v>356</v>
      </c>
      <c r="C10" t="s">
        <v>34</v>
      </c>
      <c r="D10" t="s">
        <v>35</v>
      </c>
      <c r="E10" t="s">
        <v>17</v>
      </c>
      <c r="F10" t="s">
        <v>36</v>
      </c>
      <c r="G10">
        <v>4399641006</v>
      </c>
      <c r="H10" t="str">
        <f>PROPER(Customer[[#This Row],[C_NAME]])</f>
        <v>Sheryl</v>
      </c>
      <c r="I10" t="str">
        <f>LOWER(Customer[[#This Row],[C_EMAIL_ID]])</f>
        <v>kelli519@gmail.com</v>
      </c>
      <c r="J10" s="1">
        <f>_xlfn.XLOOKUP(B10,Membership!A:A,Membership!B:B)</f>
        <v>39964</v>
      </c>
      <c r="K10" s="1">
        <f>_xlfn.XLOOKUP(B10,Membership!A:A,Membership!C:C)</f>
        <v>41914</v>
      </c>
      <c r="L10">
        <f t="shared" si="0"/>
        <v>5</v>
      </c>
    </row>
    <row r="11" spans="1:12" x14ac:dyDescent="0.25">
      <c r="A11">
        <v>4094</v>
      </c>
      <c r="B11">
        <v>301</v>
      </c>
      <c r="C11" t="s">
        <v>37</v>
      </c>
      <c r="D11" t="s">
        <v>38</v>
      </c>
      <c r="E11" t="s">
        <v>9</v>
      </c>
      <c r="F11" t="s">
        <v>39</v>
      </c>
      <c r="G11">
        <v>7077259810</v>
      </c>
      <c r="H11" t="str">
        <f>PROPER(Customer[[#This Row],[C_NAME]])</f>
        <v>Rory</v>
      </c>
      <c r="I11" t="str">
        <f>LOWER(Customer[[#This Row],[C_EMAIL_ID]])</f>
        <v>ryker154@hotmail.com</v>
      </c>
      <c r="J11" s="1">
        <f>_xlfn.XLOOKUP(B11,Membership!A:A,Membership!B:B)</f>
        <v>43183</v>
      </c>
      <c r="K11" s="1">
        <f>_xlfn.XLOOKUP(B11,Membership!A:A,Membership!C:C)</f>
        <v>49672</v>
      </c>
      <c r="L11">
        <f t="shared" si="0"/>
        <v>17</v>
      </c>
    </row>
    <row r="12" spans="1:12" x14ac:dyDescent="0.25">
      <c r="A12">
        <v>3042</v>
      </c>
      <c r="B12">
        <v>450</v>
      </c>
      <c r="C12" t="s">
        <v>40</v>
      </c>
      <c r="D12" t="s">
        <v>41</v>
      </c>
      <c r="E12" t="s">
        <v>13</v>
      </c>
      <c r="F12" t="s">
        <v>42</v>
      </c>
      <c r="G12">
        <v>1634188566</v>
      </c>
      <c r="H12" t="str">
        <f>PROPER(Customer[[#This Row],[C_NAME]])</f>
        <v>Cecile</v>
      </c>
      <c r="I12" t="str">
        <f>LOWER(Customer[[#This Row],[C_EMAIL_ID]])</f>
        <v>johnnie593@hotmail.com</v>
      </c>
      <c r="J12" s="1">
        <f>_xlfn.XLOOKUP(B12,Membership!A:A,Membership!B:B)</f>
        <v>26914</v>
      </c>
      <c r="K12" s="1">
        <f>_xlfn.XLOOKUP(B12,Membership!A:A,Membership!C:C)</f>
        <v>30324</v>
      </c>
      <c r="L12">
        <f t="shared" si="0"/>
        <v>9</v>
      </c>
    </row>
    <row r="13" spans="1:12" x14ac:dyDescent="0.25">
      <c r="A13">
        <v>2220</v>
      </c>
      <c r="B13">
        <v>782</v>
      </c>
      <c r="C13" t="s">
        <v>43</v>
      </c>
      <c r="D13" t="s">
        <v>44</v>
      </c>
      <c r="E13" t="s">
        <v>13</v>
      </c>
      <c r="F13" t="s">
        <v>45</v>
      </c>
      <c r="G13">
        <v>6963794710</v>
      </c>
      <c r="H13" t="str">
        <f>PROPER(Customer[[#This Row],[C_NAME]])</f>
        <v>Monte</v>
      </c>
      <c r="I13" t="str">
        <f>LOWER(Customer[[#This Row],[C_EMAIL_ID]])</f>
        <v>zykeria36@google.co.in</v>
      </c>
      <c r="J13" s="1">
        <f>_xlfn.XLOOKUP(B13,Membership!A:A,Membership!B:B)</f>
        <v>37161</v>
      </c>
      <c r="K13" s="1">
        <f>_xlfn.XLOOKUP(B13,Membership!A:A,Membership!C:C)</f>
        <v>41937</v>
      </c>
      <c r="L13">
        <f t="shared" si="0"/>
        <v>13</v>
      </c>
    </row>
    <row r="14" spans="1:12" x14ac:dyDescent="0.25">
      <c r="A14">
        <v>4988</v>
      </c>
      <c r="B14">
        <v>820</v>
      </c>
      <c r="C14" t="s">
        <v>46</v>
      </c>
      <c r="D14" t="s">
        <v>47</v>
      </c>
      <c r="E14" t="s">
        <v>13</v>
      </c>
      <c r="F14" t="s">
        <v>48</v>
      </c>
      <c r="G14">
        <v>2644171337</v>
      </c>
      <c r="H14" t="str">
        <f>PROPER(Customer[[#This Row],[C_NAME]])</f>
        <v>Belle</v>
      </c>
      <c r="I14" t="str">
        <f>LOWER(Customer[[#This Row],[C_EMAIL_ID]])</f>
        <v>selma775@yahoo.co.in</v>
      </c>
      <c r="J14" s="1">
        <f>_xlfn.XLOOKUP(B14,Membership!A:A,Membership!B:B)</f>
        <v>41028</v>
      </c>
      <c r="K14" s="1">
        <f>_xlfn.XLOOKUP(B14,Membership!A:A,Membership!C:C)</f>
        <v>45546</v>
      </c>
      <c r="L14">
        <f t="shared" si="0"/>
        <v>12</v>
      </c>
    </row>
    <row r="15" spans="1:12" x14ac:dyDescent="0.25">
      <c r="A15">
        <v>175</v>
      </c>
      <c r="B15">
        <v>316</v>
      </c>
      <c r="C15" t="s">
        <v>49</v>
      </c>
      <c r="D15" t="s">
        <v>50</v>
      </c>
      <c r="E15" t="s">
        <v>13</v>
      </c>
      <c r="F15" t="s">
        <v>51</v>
      </c>
      <c r="G15">
        <v>3057896481</v>
      </c>
      <c r="H15" t="str">
        <f>PROPER(Customer[[#This Row],[C_NAME]])</f>
        <v>Rayshawn</v>
      </c>
      <c r="I15" t="str">
        <f>LOWER(Customer[[#This Row],[C_EMAIL_ID]])</f>
        <v>kathryn298@gmail.com</v>
      </c>
      <c r="J15" s="1">
        <f>_xlfn.XLOOKUP(B15,Membership!A:A,Membership!B:B)</f>
        <v>30104</v>
      </c>
      <c r="K15" s="1">
        <f>_xlfn.XLOOKUP(B15,Membership!A:A,Membership!C:C)</f>
        <v>32121</v>
      </c>
      <c r="L15">
        <f t="shared" si="0"/>
        <v>5</v>
      </c>
    </row>
    <row r="16" spans="1:12" x14ac:dyDescent="0.25">
      <c r="A16">
        <v>4233</v>
      </c>
      <c r="B16">
        <v>945</v>
      </c>
      <c r="C16" t="s">
        <v>52</v>
      </c>
      <c r="D16" t="s">
        <v>53</v>
      </c>
      <c r="E16" t="s">
        <v>9</v>
      </c>
      <c r="F16" t="s">
        <v>54</v>
      </c>
      <c r="G16">
        <v>3335480444</v>
      </c>
      <c r="H16" t="str">
        <f>PROPER(Customer[[#This Row],[C_NAME]])</f>
        <v>Abby</v>
      </c>
      <c r="I16" t="str">
        <f>LOWER(Customer[[#This Row],[C_EMAIL_ID]])</f>
        <v>karl167@google.co.in</v>
      </c>
      <c r="J16" s="1">
        <f>_xlfn.XLOOKUP(B16,Membership!A:A,Membership!B:B)</f>
        <v>27616</v>
      </c>
      <c r="K16" s="1">
        <f>_xlfn.XLOOKUP(B16,Membership!A:A,Membership!C:C)</f>
        <v>33380</v>
      </c>
      <c r="L16">
        <f t="shared" si="0"/>
        <v>15</v>
      </c>
    </row>
    <row r="17" spans="1:12" x14ac:dyDescent="0.25">
      <c r="A17">
        <v>4351</v>
      </c>
      <c r="B17">
        <v>174</v>
      </c>
      <c r="C17" t="s">
        <v>55</v>
      </c>
      <c r="D17" t="s">
        <v>56</v>
      </c>
      <c r="E17" t="s">
        <v>9</v>
      </c>
      <c r="F17" t="s">
        <v>57</v>
      </c>
      <c r="G17">
        <v>1772719208</v>
      </c>
      <c r="H17" t="str">
        <f>PROPER(Customer[[#This Row],[C_NAME]])</f>
        <v>Alonzo</v>
      </c>
      <c r="I17" t="str">
        <f>LOWER(Customer[[#This Row],[C_EMAIL_ID]])</f>
        <v>freda331@yahoo.co.in</v>
      </c>
      <c r="J17" s="1">
        <f>_xlfn.XLOOKUP(B17,Membership!A:A,Membership!B:B)</f>
        <v>41896</v>
      </c>
      <c r="K17" s="1">
        <f>_xlfn.XLOOKUP(B17,Membership!A:A,Membership!C:C)</f>
        <v>43760</v>
      </c>
      <c r="L17">
        <f t="shared" si="0"/>
        <v>5</v>
      </c>
    </row>
    <row r="18" spans="1:12" x14ac:dyDescent="0.25">
      <c r="A18">
        <v>5578</v>
      </c>
      <c r="B18">
        <v>634</v>
      </c>
      <c r="C18" t="s">
        <v>58</v>
      </c>
      <c r="D18" t="s">
        <v>59</v>
      </c>
      <c r="E18" t="s">
        <v>13</v>
      </c>
      <c r="F18" t="s">
        <v>60</v>
      </c>
      <c r="G18">
        <v>3581081156</v>
      </c>
      <c r="H18" t="str">
        <f>PROPER(Customer[[#This Row],[C_NAME]])</f>
        <v>Ray</v>
      </c>
      <c r="I18" t="str">
        <f>LOWER(Customer[[#This Row],[C_EMAIL_ID]])</f>
        <v>david216@ymail.com</v>
      </c>
      <c r="J18" s="1">
        <f>_xlfn.XLOOKUP(B18,Membership!A:A,Membership!B:B)</f>
        <v>38125</v>
      </c>
      <c r="K18" s="1">
        <f>_xlfn.XLOOKUP(B18,Membership!A:A,Membership!C:C)</f>
        <v>42624</v>
      </c>
      <c r="L18">
        <f t="shared" si="0"/>
        <v>12</v>
      </c>
    </row>
    <row r="19" spans="1:12" x14ac:dyDescent="0.25">
      <c r="A19">
        <v>4523</v>
      </c>
      <c r="B19">
        <v>456</v>
      </c>
      <c r="C19" t="s">
        <v>61</v>
      </c>
      <c r="D19" t="s">
        <v>62</v>
      </c>
      <c r="E19" t="s">
        <v>13</v>
      </c>
      <c r="F19" t="s">
        <v>63</v>
      </c>
      <c r="G19">
        <v>9811567113</v>
      </c>
      <c r="H19" t="str">
        <f>PROPER(Customer[[#This Row],[C_NAME]])</f>
        <v>Tiffany</v>
      </c>
      <c r="I19" t="str">
        <f>LOWER(Customer[[#This Row],[C_EMAIL_ID]])</f>
        <v>winnifred436@gmail.com</v>
      </c>
      <c r="J19" s="1">
        <f>_xlfn.XLOOKUP(B19,Membership!A:A,Membership!B:B)</f>
        <v>42368</v>
      </c>
      <c r="K19" s="1">
        <f>_xlfn.XLOOKUP(B19,Membership!A:A,Membership!C:C)</f>
        <v>48934</v>
      </c>
      <c r="L19">
        <f t="shared" si="0"/>
        <v>17</v>
      </c>
    </row>
    <row r="20" spans="1:12" x14ac:dyDescent="0.25">
      <c r="A20">
        <v>2972</v>
      </c>
      <c r="B20">
        <v>0</v>
      </c>
      <c r="C20" t="s">
        <v>64</v>
      </c>
      <c r="D20" t="s">
        <v>65</v>
      </c>
      <c r="E20" t="s">
        <v>13</v>
      </c>
      <c r="F20" t="s">
        <v>66</v>
      </c>
      <c r="G20">
        <v>7176117751</v>
      </c>
      <c r="H20" t="str">
        <f>PROPER(Customer[[#This Row],[C_NAME]])</f>
        <v>Rosalind</v>
      </c>
      <c r="I20" t="str">
        <f>LOWER(Customer[[#This Row],[C_EMAIL_ID]])</f>
        <v>bryce535@google.co.in</v>
      </c>
      <c r="J20" s="1">
        <f>_xlfn.XLOOKUP(B20,Membership!A:A,Membership!B:B)</f>
        <v>42368</v>
      </c>
      <c r="K20" s="1">
        <f>_xlfn.XLOOKUP(B20,Membership!A:A,Membership!C:C)</f>
        <v>44088</v>
      </c>
      <c r="L20">
        <f t="shared" si="0"/>
        <v>4</v>
      </c>
    </row>
    <row r="21" spans="1:12" x14ac:dyDescent="0.25">
      <c r="A21">
        <v>6153</v>
      </c>
      <c r="B21">
        <v>186</v>
      </c>
      <c r="C21" t="s">
        <v>67</v>
      </c>
      <c r="D21" t="s">
        <v>68</v>
      </c>
      <c r="E21" t="s">
        <v>17</v>
      </c>
      <c r="F21" t="s">
        <v>69</v>
      </c>
      <c r="G21">
        <v>5362454917</v>
      </c>
      <c r="H21" t="str">
        <f>PROPER(Customer[[#This Row],[C_NAME]])</f>
        <v>Franklin</v>
      </c>
      <c r="I21" t="str">
        <f>LOWER(Customer[[#This Row],[C_EMAIL_ID]])</f>
        <v>maeve922@gmail.com</v>
      </c>
      <c r="J21" s="1">
        <f>_xlfn.XLOOKUP(B21,Membership!A:A,Membership!B:B)</f>
        <v>30612</v>
      </c>
      <c r="K21" s="1">
        <f>_xlfn.XLOOKUP(B21,Membership!A:A,Membership!C:C)</f>
        <v>34471</v>
      </c>
      <c r="L21">
        <f t="shared" si="0"/>
        <v>10</v>
      </c>
    </row>
    <row r="22" spans="1:12" x14ac:dyDescent="0.25">
      <c r="A22">
        <v>4852</v>
      </c>
      <c r="B22">
        <v>596</v>
      </c>
      <c r="C22" t="s">
        <v>70</v>
      </c>
      <c r="D22" t="s">
        <v>71</v>
      </c>
      <c r="E22" t="s">
        <v>9</v>
      </c>
      <c r="F22" t="s">
        <v>72</v>
      </c>
      <c r="G22">
        <v>9745073612</v>
      </c>
      <c r="H22" t="str">
        <f>PROPER(Customer[[#This Row],[C_NAME]])</f>
        <v>Sophie</v>
      </c>
      <c r="I22" t="str">
        <f>LOWER(Customer[[#This Row],[C_EMAIL_ID]])</f>
        <v>seth275@ymail.com</v>
      </c>
      <c r="J22" s="1">
        <f>_xlfn.XLOOKUP(B22,Membership!A:A,Membership!B:B)</f>
        <v>42003</v>
      </c>
      <c r="K22" s="1">
        <f>_xlfn.XLOOKUP(B22,Membership!A:A,Membership!C:C)</f>
        <v>48009</v>
      </c>
      <c r="L22">
        <f t="shared" si="0"/>
        <v>16</v>
      </c>
    </row>
    <row r="23" spans="1:12" x14ac:dyDescent="0.25">
      <c r="A23">
        <v>8106</v>
      </c>
      <c r="B23">
        <v>245</v>
      </c>
      <c r="C23" t="s">
        <v>73</v>
      </c>
      <c r="D23" t="s">
        <v>74</v>
      </c>
      <c r="E23" t="s">
        <v>17</v>
      </c>
      <c r="F23" t="s">
        <v>75</v>
      </c>
      <c r="G23">
        <v>4218762280</v>
      </c>
      <c r="H23" t="str">
        <f>PROPER(Customer[[#This Row],[C_NAME]])</f>
        <v>Matthew</v>
      </c>
      <c r="I23" t="str">
        <f>LOWER(Customer[[#This Row],[C_EMAIL_ID]])</f>
        <v>maria344@yahoo.com</v>
      </c>
      <c r="J23" s="1">
        <f>_xlfn.XLOOKUP(B23,Membership!A:A,Membership!B:B)</f>
        <v>34702</v>
      </c>
      <c r="K23" s="1">
        <f>_xlfn.XLOOKUP(B23,Membership!A:A,Membership!C:C)</f>
        <v>36783</v>
      </c>
      <c r="L23">
        <f t="shared" si="0"/>
        <v>5</v>
      </c>
    </row>
    <row r="24" spans="1:12" x14ac:dyDescent="0.25">
      <c r="A24">
        <v>3917</v>
      </c>
      <c r="B24">
        <v>17</v>
      </c>
      <c r="C24" t="s">
        <v>76</v>
      </c>
      <c r="D24" t="s">
        <v>77</v>
      </c>
      <c r="E24" t="s">
        <v>9</v>
      </c>
      <c r="F24" t="s">
        <v>78</v>
      </c>
      <c r="G24">
        <v>2224750233</v>
      </c>
      <c r="H24" t="str">
        <f>PROPER(Customer[[#This Row],[C_NAME]])</f>
        <v>Larry</v>
      </c>
      <c r="I24" t="str">
        <f>LOWER(Customer[[#This Row],[C_EMAIL_ID]])</f>
        <v>taron588@yahoo.co.in</v>
      </c>
      <c r="J24" s="1">
        <f>_xlfn.XLOOKUP(B24,Membership!A:A,Membership!B:B)</f>
        <v>29072</v>
      </c>
      <c r="K24" s="1">
        <f>_xlfn.XLOOKUP(B24,Membership!A:A,Membership!C:C)</f>
        <v>35280</v>
      </c>
      <c r="L24">
        <f t="shared" si="0"/>
        <v>16</v>
      </c>
    </row>
    <row r="25" spans="1:12" x14ac:dyDescent="0.25">
      <c r="A25">
        <v>9377</v>
      </c>
      <c r="B25">
        <v>48</v>
      </c>
      <c r="C25" t="s">
        <v>79</v>
      </c>
      <c r="D25" t="s">
        <v>80</v>
      </c>
      <c r="E25" t="s">
        <v>9</v>
      </c>
      <c r="F25" t="s">
        <v>81</v>
      </c>
      <c r="G25">
        <v>8017236646</v>
      </c>
      <c r="H25" t="str">
        <f>PROPER(Customer[[#This Row],[C_NAME]])</f>
        <v>Elena</v>
      </c>
      <c r="I25" t="str">
        <f>LOWER(Customer[[#This Row],[C_EMAIL_ID]])</f>
        <v>bryce621@google.co.in</v>
      </c>
      <c r="J25" s="1">
        <f>_xlfn.XLOOKUP(B25,Membership!A:A,Membership!B:B)</f>
        <v>37783</v>
      </c>
      <c r="K25" s="1">
        <f>_xlfn.XLOOKUP(B25,Membership!A:A,Membership!C:C)</f>
        <v>40253</v>
      </c>
      <c r="L25">
        <f t="shared" si="0"/>
        <v>6</v>
      </c>
    </row>
    <row r="26" spans="1:12" x14ac:dyDescent="0.25">
      <c r="A26">
        <v>5387</v>
      </c>
      <c r="B26">
        <v>457</v>
      </c>
      <c r="C26" t="s">
        <v>82</v>
      </c>
      <c r="D26" t="s">
        <v>83</v>
      </c>
      <c r="E26" t="s">
        <v>17</v>
      </c>
      <c r="F26" t="s">
        <v>84</v>
      </c>
      <c r="G26">
        <v>5712616501</v>
      </c>
      <c r="H26" t="str">
        <f>PROPER(Customer[[#This Row],[C_NAME]])</f>
        <v>Brady</v>
      </c>
      <c r="I26" t="str">
        <f>LOWER(Customer[[#This Row],[C_EMAIL_ID]])</f>
        <v>ramona218@gmail.com</v>
      </c>
      <c r="J26" s="1">
        <f>_xlfn.XLOOKUP(B26,Membership!A:A,Membership!B:B)</f>
        <v>27186</v>
      </c>
      <c r="K26" s="1">
        <f>_xlfn.XLOOKUP(B26,Membership!A:A,Membership!C:C)</f>
        <v>28042</v>
      </c>
      <c r="L26">
        <f t="shared" si="0"/>
        <v>2</v>
      </c>
    </row>
    <row r="27" spans="1:12" x14ac:dyDescent="0.25">
      <c r="A27">
        <v>6513</v>
      </c>
      <c r="B27">
        <v>944</v>
      </c>
      <c r="C27" t="s">
        <v>85</v>
      </c>
      <c r="D27" t="s">
        <v>86</v>
      </c>
      <c r="E27" t="s">
        <v>17</v>
      </c>
      <c r="F27" t="s">
        <v>87</v>
      </c>
      <c r="G27">
        <v>7065731530</v>
      </c>
      <c r="H27" t="str">
        <f>PROPER(Customer[[#This Row],[C_NAME]])</f>
        <v>Sapphire</v>
      </c>
      <c r="I27" t="str">
        <f>LOWER(Customer[[#This Row],[C_EMAIL_ID]])</f>
        <v>adrienne107@gmail.com</v>
      </c>
      <c r="J27" s="1">
        <f>_xlfn.XLOOKUP(B27,Membership!A:A,Membership!B:B)</f>
        <v>34590</v>
      </c>
      <c r="K27" s="1">
        <f>_xlfn.XLOOKUP(B27,Membership!A:A,Membership!C:C)</f>
        <v>39192</v>
      </c>
      <c r="L27">
        <f t="shared" si="0"/>
        <v>12</v>
      </c>
    </row>
    <row r="28" spans="1:12" x14ac:dyDescent="0.25">
      <c r="A28">
        <v>3965</v>
      </c>
      <c r="B28">
        <v>516</v>
      </c>
      <c r="C28" t="s">
        <v>88</v>
      </c>
      <c r="D28" t="s">
        <v>89</v>
      </c>
      <c r="E28" t="s">
        <v>17</v>
      </c>
      <c r="F28" t="s">
        <v>90</v>
      </c>
      <c r="G28">
        <v>3636499761</v>
      </c>
      <c r="H28" t="str">
        <f>PROPER(Customer[[#This Row],[C_NAME]])</f>
        <v>Gene</v>
      </c>
      <c r="I28" t="str">
        <f>LOWER(Customer[[#This Row],[C_EMAIL_ID]])</f>
        <v>dawn743@yahoo.com</v>
      </c>
      <c r="J28" s="1">
        <f>_xlfn.XLOOKUP(B28,Membership!A:A,Membership!B:B)</f>
        <v>37813</v>
      </c>
      <c r="K28" s="1">
        <f>_xlfn.XLOOKUP(B28,Membership!A:A,Membership!C:C)</f>
        <v>40269</v>
      </c>
      <c r="L28">
        <f t="shared" si="0"/>
        <v>6</v>
      </c>
    </row>
    <row r="29" spans="1:12" x14ac:dyDescent="0.25">
      <c r="A29">
        <v>8893</v>
      </c>
      <c r="B29">
        <v>847</v>
      </c>
      <c r="C29" t="s">
        <v>91</v>
      </c>
      <c r="D29" t="s">
        <v>92</v>
      </c>
      <c r="E29" t="s">
        <v>17</v>
      </c>
      <c r="F29" t="s">
        <v>93</v>
      </c>
      <c r="G29">
        <v>6491626668</v>
      </c>
      <c r="H29" t="str">
        <f>PROPER(Customer[[#This Row],[C_NAME]])</f>
        <v>Magdalene</v>
      </c>
      <c r="I29" t="str">
        <f>LOWER(Customer[[#This Row],[C_EMAIL_ID]])</f>
        <v>yessenia134@yahoo.com</v>
      </c>
      <c r="J29" s="1">
        <f>_xlfn.XLOOKUP(B29,Membership!A:A,Membership!B:B)</f>
        <v>33752</v>
      </c>
      <c r="K29" s="1">
        <f>_xlfn.XLOOKUP(B29,Membership!A:A,Membership!C:C)</f>
        <v>36913</v>
      </c>
      <c r="L29">
        <f t="shared" si="0"/>
        <v>8</v>
      </c>
    </row>
    <row r="30" spans="1:12" x14ac:dyDescent="0.25">
      <c r="A30">
        <v>1897</v>
      </c>
      <c r="B30">
        <v>504</v>
      </c>
      <c r="C30" t="s">
        <v>94</v>
      </c>
      <c r="D30" t="s">
        <v>95</v>
      </c>
      <c r="E30" t="s">
        <v>13</v>
      </c>
      <c r="F30" t="s">
        <v>96</v>
      </c>
      <c r="G30">
        <v>8023324199</v>
      </c>
      <c r="H30" t="str">
        <f>PROPER(Customer[[#This Row],[C_NAME]])</f>
        <v>Norma</v>
      </c>
      <c r="I30" t="str">
        <f>LOWER(Customer[[#This Row],[C_EMAIL_ID]])</f>
        <v>ryan368@ymail.com</v>
      </c>
      <c r="J30" s="1">
        <f>_xlfn.XLOOKUP(B30,Membership!A:A,Membership!B:B)</f>
        <v>29175</v>
      </c>
      <c r="K30" s="1">
        <f>_xlfn.XLOOKUP(B30,Membership!A:A,Membership!C:C)</f>
        <v>32461</v>
      </c>
      <c r="L30">
        <f t="shared" si="0"/>
        <v>8</v>
      </c>
    </row>
    <row r="31" spans="1:12" x14ac:dyDescent="0.25">
      <c r="A31">
        <v>390</v>
      </c>
      <c r="B31">
        <v>115</v>
      </c>
      <c r="C31" t="s">
        <v>97</v>
      </c>
      <c r="D31" t="s">
        <v>98</v>
      </c>
      <c r="E31" t="s">
        <v>17</v>
      </c>
      <c r="F31" t="s">
        <v>99</v>
      </c>
      <c r="G31">
        <v>6958292565</v>
      </c>
      <c r="H31" t="str">
        <f>PROPER(Customer[[#This Row],[C_NAME]])</f>
        <v>Destiny</v>
      </c>
      <c r="I31" t="str">
        <f>LOWER(Customer[[#This Row],[C_EMAIL_ID]])</f>
        <v>harriette113@ymail.co.in</v>
      </c>
      <c r="J31" s="1">
        <f>_xlfn.XLOOKUP(B31,Membership!A:A,Membership!B:B)</f>
        <v>40345</v>
      </c>
      <c r="K31" s="1">
        <f>_xlfn.XLOOKUP(B31,Membership!A:A,Membership!C:C)</f>
        <v>41183</v>
      </c>
      <c r="L31">
        <f t="shared" si="0"/>
        <v>2</v>
      </c>
    </row>
    <row r="32" spans="1:12" x14ac:dyDescent="0.25">
      <c r="A32">
        <v>3633</v>
      </c>
      <c r="B32">
        <v>740</v>
      </c>
      <c r="C32" t="s">
        <v>100</v>
      </c>
      <c r="D32" t="s">
        <v>101</v>
      </c>
      <c r="E32" t="s">
        <v>9</v>
      </c>
      <c r="F32" t="s">
        <v>102</v>
      </c>
      <c r="G32">
        <v>3794685776</v>
      </c>
      <c r="H32" t="str">
        <f>PROPER(Customer[[#This Row],[C_NAME]])</f>
        <v>Glory</v>
      </c>
      <c r="I32" t="str">
        <f>LOWER(Customer[[#This Row],[C_EMAIL_ID]])</f>
        <v>jana467@gmail.com</v>
      </c>
      <c r="J32" s="1">
        <f>_xlfn.XLOOKUP(B32,Membership!A:A,Membership!B:B)</f>
        <v>26189</v>
      </c>
      <c r="K32" s="1">
        <f>_xlfn.XLOOKUP(B32,Membership!A:A,Membership!C:C)</f>
        <v>26840</v>
      </c>
      <c r="L32">
        <f t="shared" si="0"/>
        <v>1</v>
      </c>
    </row>
    <row r="33" spans="1:12" x14ac:dyDescent="0.25">
      <c r="A33">
        <v>7828</v>
      </c>
      <c r="B33">
        <v>884</v>
      </c>
      <c r="C33" t="s">
        <v>103</v>
      </c>
      <c r="D33" t="s">
        <v>104</v>
      </c>
      <c r="E33" t="s">
        <v>9</v>
      </c>
      <c r="F33" t="s">
        <v>105</v>
      </c>
      <c r="G33">
        <v>1973040699</v>
      </c>
      <c r="H33" t="str">
        <f>PROPER(Customer[[#This Row],[C_NAME]])</f>
        <v>Latasha</v>
      </c>
      <c r="I33" t="str">
        <f>LOWER(Customer[[#This Row],[C_EMAIL_ID]])</f>
        <v>frances207@ymail.co.in</v>
      </c>
      <c r="J33" s="1">
        <f>_xlfn.XLOOKUP(B33,Membership!A:A,Membership!B:B)</f>
        <v>34882</v>
      </c>
      <c r="K33" s="1">
        <f>_xlfn.XLOOKUP(B33,Membership!A:A,Membership!C:C)</f>
        <v>41522</v>
      </c>
      <c r="L33">
        <f t="shared" si="0"/>
        <v>18</v>
      </c>
    </row>
    <row r="34" spans="1:12" x14ac:dyDescent="0.25">
      <c r="A34">
        <v>2241</v>
      </c>
      <c r="B34">
        <v>446</v>
      </c>
      <c r="C34" t="s">
        <v>106</v>
      </c>
      <c r="D34" t="s">
        <v>107</v>
      </c>
      <c r="E34" t="s">
        <v>9</v>
      </c>
      <c r="F34" t="s">
        <v>108</v>
      </c>
      <c r="G34">
        <v>4120733093</v>
      </c>
      <c r="H34" t="str">
        <f>PROPER(Customer[[#This Row],[C_NAME]])</f>
        <v>Clay</v>
      </c>
      <c r="I34" t="str">
        <f>LOWER(Customer[[#This Row],[C_EMAIL_ID]])</f>
        <v>tiffani841@google.co.in</v>
      </c>
      <c r="J34" s="1">
        <f>_xlfn.XLOOKUP(B34,Membership!A:A,Membership!B:B)</f>
        <v>35806</v>
      </c>
      <c r="K34" s="1">
        <f>_xlfn.XLOOKUP(B34,Membership!A:A,Membership!C:C)</f>
        <v>42557</v>
      </c>
      <c r="L34">
        <f t="shared" ref="L34:L65" si="1">DATEDIF(J34,K34,"Y")</f>
        <v>18</v>
      </c>
    </row>
    <row r="35" spans="1:12" x14ac:dyDescent="0.25">
      <c r="A35">
        <v>896</v>
      </c>
      <c r="B35">
        <v>74</v>
      </c>
      <c r="C35" t="s">
        <v>109</v>
      </c>
      <c r="D35" t="s">
        <v>110</v>
      </c>
      <c r="E35" t="s">
        <v>9</v>
      </c>
      <c r="F35" t="s">
        <v>21</v>
      </c>
      <c r="G35">
        <v>5785102250</v>
      </c>
      <c r="H35" t="str">
        <f>PROPER(Customer[[#This Row],[C_NAME]])</f>
        <v>Frances</v>
      </c>
      <c r="I35" t="str">
        <f>LOWER(Customer[[#This Row],[C_EMAIL_ID]])</f>
        <v>cecile32@hotmail.com</v>
      </c>
      <c r="J35" s="1">
        <f>_xlfn.XLOOKUP(B35,Membership!A:A,Membership!B:B)</f>
        <v>30200</v>
      </c>
      <c r="K35" s="1">
        <f>_xlfn.XLOOKUP(B35,Membership!A:A,Membership!C:C)</f>
        <v>37114</v>
      </c>
      <c r="L35">
        <f t="shared" si="1"/>
        <v>18</v>
      </c>
    </row>
    <row r="36" spans="1:12" x14ac:dyDescent="0.25">
      <c r="A36">
        <v>6361</v>
      </c>
      <c r="B36">
        <v>636</v>
      </c>
      <c r="C36" t="s">
        <v>111</v>
      </c>
      <c r="D36" t="s">
        <v>112</v>
      </c>
      <c r="E36" t="s">
        <v>9</v>
      </c>
      <c r="F36" t="s">
        <v>113</v>
      </c>
      <c r="G36">
        <v>9235867886</v>
      </c>
      <c r="H36" t="str">
        <f>PROPER(Customer[[#This Row],[C_NAME]])</f>
        <v>Dinah</v>
      </c>
      <c r="I36" t="str">
        <f>LOWER(Customer[[#This Row],[C_EMAIL_ID]])</f>
        <v>bryce393@ymail.com</v>
      </c>
      <c r="J36" s="1">
        <f>_xlfn.XLOOKUP(B36,Membership!A:A,Membership!B:B)</f>
        <v>36289</v>
      </c>
      <c r="K36" s="1">
        <f>_xlfn.XLOOKUP(B36,Membership!A:A,Membership!C:C)</f>
        <v>38504</v>
      </c>
      <c r="L36">
        <f t="shared" si="1"/>
        <v>6</v>
      </c>
    </row>
    <row r="37" spans="1:12" x14ac:dyDescent="0.25">
      <c r="A37">
        <v>6713</v>
      </c>
      <c r="B37">
        <v>37</v>
      </c>
      <c r="C37" t="s">
        <v>114</v>
      </c>
      <c r="D37" t="s">
        <v>115</v>
      </c>
      <c r="E37" t="s">
        <v>17</v>
      </c>
      <c r="F37" t="s">
        <v>116</v>
      </c>
      <c r="G37">
        <v>7134849334</v>
      </c>
      <c r="H37" t="str">
        <f>PROPER(Customer[[#This Row],[C_NAME]])</f>
        <v>Merna</v>
      </c>
      <c r="I37" t="str">
        <f>LOWER(Customer[[#This Row],[C_EMAIL_ID]])</f>
        <v>earle203@google.co.in</v>
      </c>
      <c r="J37" s="1">
        <f>_xlfn.XLOOKUP(B37,Membership!A:A,Membership!B:B)</f>
        <v>38247</v>
      </c>
      <c r="K37" s="1">
        <f>_xlfn.XLOOKUP(B37,Membership!A:A,Membership!C:C)</f>
        <v>45446</v>
      </c>
      <c r="L37">
        <f t="shared" si="1"/>
        <v>19</v>
      </c>
    </row>
    <row r="38" spans="1:12" x14ac:dyDescent="0.25">
      <c r="A38">
        <v>4283</v>
      </c>
      <c r="B38">
        <v>804</v>
      </c>
      <c r="C38" t="s">
        <v>117</v>
      </c>
      <c r="D38" t="s">
        <v>118</v>
      </c>
      <c r="E38" t="s">
        <v>13</v>
      </c>
      <c r="F38" t="s">
        <v>21</v>
      </c>
      <c r="G38">
        <v>4751700379</v>
      </c>
      <c r="H38" t="str">
        <f>PROPER(Customer[[#This Row],[C_NAME]])</f>
        <v>Louise</v>
      </c>
      <c r="I38" t="str">
        <f>LOWER(Customer[[#This Row],[C_EMAIL_ID]])</f>
        <v>danita716@ymail.com</v>
      </c>
      <c r="J38" s="1">
        <f>_xlfn.XLOOKUP(B38,Membership!A:A,Membership!B:B)</f>
        <v>35666</v>
      </c>
      <c r="K38" s="1">
        <f>_xlfn.XLOOKUP(B38,Membership!A:A,Membership!C:C)</f>
        <v>40366</v>
      </c>
      <c r="L38">
        <f t="shared" si="1"/>
        <v>12</v>
      </c>
    </row>
    <row r="39" spans="1:12" x14ac:dyDescent="0.25">
      <c r="A39">
        <v>9486</v>
      </c>
      <c r="B39">
        <v>694</v>
      </c>
      <c r="C39" t="s">
        <v>119</v>
      </c>
      <c r="D39" t="s">
        <v>120</v>
      </c>
      <c r="E39" t="s">
        <v>13</v>
      </c>
      <c r="F39" t="s">
        <v>121</v>
      </c>
      <c r="G39">
        <v>9430559862</v>
      </c>
      <c r="H39" t="str">
        <f>PROPER(Customer[[#This Row],[C_NAME]])</f>
        <v>Kaitlyn</v>
      </c>
      <c r="I39" t="str">
        <f>LOWER(Customer[[#This Row],[C_EMAIL_ID]])</f>
        <v>raeleigh114@gmail.com</v>
      </c>
      <c r="J39" s="1">
        <f>_xlfn.XLOOKUP(B39,Membership!A:A,Membership!B:B)</f>
        <v>37775</v>
      </c>
      <c r="K39" s="1">
        <f>_xlfn.XLOOKUP(B39,Membership!A:A,Membership!C:C)</f>
        <v>41767</v>
      </c>
      <c r="L39">
        <f t="shared" si="1"/>
        <v>10</v>
      </c>
    </row>
    <row r="40" spans="1:12" x14ac:dyDescent="0.25">
      <c r="A40">
        <v>308</v>
      </c>
      <c r="B40">
        <v>198</v>
      </c>
      <c r="C40" t="s">
        <v>122</v>
      </c>
      <c r="D40" t="s">
        <v>123</v>
      </c>
      <c r="E40" t="s">
        <v>17</v>
      </c>
      <c r="F40" t="s">
        <v>124</v>
      </c>
      <c r="G40">
        <v>4160161977</v>
      </c>
      <c r="H40" t="str">
        <f>PROPER(Customer[[#This Row],[C_NAME]])</f>
        <v>Morgan</v>
      </c>
      <c r="I40" t="str">
        <f>LOWER(Customer[[#This Row],[C_EMAIL_ID]])</f>
        <v>guy394@outlook.com</v>
      </c>
      <c r="J40" s="1">
        <f>_xlfn.XLOOKUP(B40,Membership!A:A,Membership!B:B)</f>
        <v>35922</v>
      </c>
      <c r="K40" s="1">
        <f>_xlfn.XLOOKUP(B40,Membership!A:A,Membership!C:C)</f>
        <v>42733</v>
      </c>
      <c r="L40">
        <f t="shared" si="1"/>
        <v>18</v>
      </c>
    </row>
    <row r="41" spans="1:12" x14ac:dyDescent="0.25">
      <c r="A41">
        <v>8927</v>
      </c>
      <c r="B41">
        <v>576</v>
      </c>
      <c r="C41" t="s">
        <v>125</v>
      </c>
      <c r="D41" t="s">
        <v>126</v>
      </c>
      <c r="E41" t="s">
        <v>13</v>
      </c>
      <c r="F41" t="s">
        <v>127</v>
      </c>
      <c r="G41">
        <v>1660494007</v>
      </c>
      <c r="H41" t="str">
        <f>PROPER(Customer[[#This Row],[C_NAME]])</f>
        <v>Courtney</v>
      </c>
      <c r="I41" t="str">
        <f>LOWER(Customer[[#This Row],[C_EMAIL_ID]])</f>
        <v>anastasia108@google.co.in</v>
      </c>
      <c r="J41" s="1">
        <f>_xlfn.XLOOKUP(B41,Membership!A:A,Membership!B:B)</f>
        <v>27763</v>
      </c>
      <c r="K41" s="1">
        <f>_xlfn.XLOOKUP(B41,Membership!A:A,Membership!C:C)</f>
        <v>31305</v>
      </c>
      <c r="L41">
        <f t="shared" si="1"/>
        <v>9</v>
      </c>
    </row>
    <row r="42" spans="1:12" x14ac:dyDescent="0.25">
      <c r="A42">
        <v>249</v>
      </c>
      <c r="B42">
        <v>754</v>
      </c>
      <c r="C42" t="s">
        <v>49</v>
      </c>
      <c r="D42" t="s">
        <v>128</v>
      </c>
      <c r="E42" t="s">
        <v>17</v>
      </c>
      <c r="F42" t="s">
        <v>129</v>
      </c>
      <c r="G42">
        <v>2979310129</v>
      </c>
      <c r="H42" t="str">
        <f>PROPER(Customer[[#This Row],[C_NAME]])</f>
        <v>Rayshawn</v>
      </c>
      <c r="I42" t="str">
        <f>LOWER(Customer[[#This Row],[C_EMAIL_ID]])</f>
        <v>benita963@gmail.com</v>
      </c>
      <c r="J42" s="1">
        <f>_xlfn.XLOOKUP(B42,Membership!A:A,Membership!B:B)</f>
        <v>40312</v>
      </c>
      <c r="K42" s="1">
        <f>_xlfn.XLOOKUP(B42,Membership!A:A,Membership!C:C)</f>
        <v>46709</v>
      </c>
      <c r="L42">
        <f t="shared" si="1"/>
        <v>17</v>
      </c>
    </row>
    <row r="43" spans="1:12" x14ac:dyDescent="0.25">
      <c r="A43">
        <v>2620</v>
      </c>
      <c r="B43">
        <v>547</v>
      </c>
      <c r="C43" t="s">
        <v>130</v>
      </c>
      <c r="D43" t="s">
        <v>131</v>
      </c>
      <c r="E43" t="s">
        <v>17</v>
      </c>
      <c r="F43" t="s">
        <v>132</v>
      </c>
      <c r="G43">
        <v>1973879566</v>
      </c>
      <c r="H43" t="str">
        <f>PROPER(Customer[[#This Row],[C_NAME]])</f>
        <v>Eddie</v>
      </c>
      <c r="I43" t="str">
        <f>LOWER(Customer[[#This Row],[C_EMAIL_ID]])</f>
        <v>dianne471@ymail.com</v>
      </c>
      <c r="J43" s="1">
        <f>_xlfn.XLOOKUP(B43,Membership!A:A,Membership!B:B)</f>
        <v>38948</v>
      </c>
      <c r="K43" s="1">
        <f>_xlfn.XLOOKUP(B43,Membership!A:A,Membership!C:C)</f>
        <v>44564</v>
      </c>
      <c r="L43">
        <f t="shared" si="1"/>
        <v>15</v>
      </c>
    </row>
    <row r="44" spans="1:12" x14ac:dyDescent="0.25">
      <c r="A44">
        <v>1164</v>
      </c>
      <c r="B44">
        <v>656</v>
      </c>
      <c r="C44" t="s">
        <v>133</v>
      </c>
      <c r="D44" t="s">
        <v>134</v>
      </c>
      <c r="E44" t="s">
        <v>9</v>
      </c>
      <c r="F44" t="s">
        <v>135</v>
      </c>
      <c r="G44">
        <v>7030699598</v>
      </c>
      <c r="H44" t="str">
        <f>PROPER(Customer[[#This Row],[C_NAME]])</f>
        <v>Maurice</v>
      </c>
      <c r="I44" t="str">
        <f>LOWER(Customer[[#This Row],[C_EMAIL_ID]])</f>
        <v>andrea833@yahoo.co.in</v>
      </c>
      <c r="J44" s="1">
        <f>_xlfn.XLOOKUP(B44,Membership!A:A,Membership!B:B)</f>
        <v>30479</v>
      </c>
      <c r="K44" s="1">
        <f>_xlfn.XLOOKUP(B44,Membership!A:A,Membership!C:C)</f>
        <v>37219</v>
      </c>
      <c r="L44">
        <f t="shared" si="1"/>
        <v>18</v>
      </c>
    </row>
    <row r="45" spans="1:12" x14ac:dyDescent="0.25">
      <c r="A45">
        <v>4711</v>
      </c>
      <c r="B45">
        <v>654</v>
      </c>
      <c r="C45" t="s">
        <v>136</v>
      </c>
      <c r="D45" t="s">
        <v>137</v>
      </c>
      <c r="E45" t="s">
        <v>9</v>
      </c>
      <c r="F45" t="s">
        <v>138</v>
      </c>
      <c r="G45">
        <v>2618164744</v>
      </c>
      <c r="H45" t="str">
        <f>PROPER(Customer[[#This Row],[C_NAME]])</f>
        <v>Taryn</v>
      </c>
      <c r="I45" t="str">
        <f>LOWER(Customer[[#This Row],[C_EMAIL_ID]])</f>
        <v>raul112@outlook.com</v>
      </c>
      <c r="J45" s="1">
        <f>_xlfn.XLOOKUP(B45,Membership!A:A,Membership!B:B)</f>
        <v>35927</v>
      </c>
      <c r="K45" s="1">
        <f>_xlfn.XLOOKUP(B45,Membership!A:A,Membership!C:C)</f>
        <v>39342</v>
      </c>
      <c r="L45">
        <f t="shared" si="1"/>
        <v>9</v>
      </c>
    </row>
    <row r="46" spans="1:12" x14ac:dyDescent="0.25">
      <c r="A46">
        <v>4053</v>
      </c>
      <c r="B46">
        <v>646</v>
      </c>
      <c r="C46" t="s">
        <v>139</v>
      </c>
      <c r="D46" t="s">
        <v>140</v>
      </c>
      <c r="E46" t="s">
        <v>17</v>
      </c>
      <c r="F46" t="s">
        <v>141</v>
      </c>
      <c r="G46">
        <v>6736421797</v>
      </c>
      <c r="H46" t="str">
        <f>PROPER(Customer[[#This Row],[C_NAME]])</f>
        <v>Lazaro</v>
      </c>
      <c r="I46" t="str">
        <f>LOWER(Customer[[#This Row],[C_EMAIL_ID]])</f>
        <v>raven727@yahoo.co.in</v>
      </c>
      <c r="J46" s="1">
        <f>_xlfn.XLOOKUP(B46,Membership!A:A,Membership!B:B)</f>
        <v>41348</v>
      </c>
      <c r="K46" s="1">
        <f>_xlfn.XLOOKUP(B46,Membership!A:A,Membership!C:C)</f>
        <v>45448</v>
      </c>
      <c r="L46">
        <f t="shared" si="1"/>
        <v>11</v>
      </c>
    </row>
    <row r="47" spans="1:12" x14ac:dyDescent="0.25">
      <c r="A47">
        <v>4272</v>
      </c>
      <c r="B47">
        <v>250</v>
      </c>
      <c r="C47" t="s">
        <v>142</v>
      </c>
      <c r="D47" t="s">
        <v>143</v>
      </c>
      <c r="E47" t="s">
        <v>17</v>
      </c>
      <c r="F47" t="s">
        <v>144</v>
      </c>
      <c r="G47">
        <v>5071378297</v>
      </c>
      <c r="H47" t="str">
        <f>PROPER(Customer[[#This Row],[C_NAME]])</f>
        <v>Muriel</v>
      </c>
      <c r="I47" t="str">
        <f>LOWER(Customer[[#This Row],[C_EMAIL_ID]])</f>
        <v>rebecca74@yahoo.co.in</v>
      </c>
      <c r="J47" s="1">
        <f>_xlfn.XLOOKUP(B47,Membership!A:A,Membership!B:B)</f>
        <v>41746</v>
      </c>
      <c r="K47" s="1">
        <f>_xlfn.XLOOKUP(B47,Membership!A:A,Membership!C:C)</f>
        <v>44742</v>
      </c>
      <c r="L47">
        <f t="shared" si="1"/>
        <v>8</v>
      </c>
    </row>
    <row r="48" spans="1:12" x14ac:dyDescent="0.25">
      <c r="A48">
        <v>7005</v>
      </c>
      <c r="B48">
        <v>81</v>
      </c>
      <c r="C48" t="s">
        <v>145</v>
      </c>
      <c r="D48" t="s">
        <v>146</v>
      </c>
      <c r="E48" t="s">
        <v>17</v>
      </c>
      <c r="F48" t="s">
        <v>147</v>
      </c>
      <c r="G48">
        <v>3907479910</v>
      </c>
      <c r="H48" t="str">
        <f>PROPER(Customer[[#This Row],[C_NAME]])</f>
        <v>Dejon</v>
      </c>
      <c r="I48" t="str">
        <f>LOWER(Customer[[#This Row],[C_EMAIL_ID]])</f>
        <v>rosalind124@hotmail.com</v>
      </c>
      <c r="J48" s="1">
        <f>_xlfn.XLOOKUP(B48,Membership!A:A,Membership!B:B)</f>
        <v>26021</v>
      </c>
      <c r="K48" s="1">
        <f>_xlfn.XLOOKUP(B48,Membership!A:A,Membership!C:C)</f>
        <v>30403</v>
      </c>
      <c r="L48">
        <f t="shared" si="1"/>
        <v>11</v>
      </c>
    </row>
    <row r="49" spans="1:12" x14ac:dyDescent="0.25">
      <c r="A49">
        <v>2308</v>
      </c>
      <c r="B49">
        <v>898</v>
      </c>
      <c r="C49" t="s">
        <v>148</v>
      </c>
      <c r="D49" t="s">
        <v>149</v>
      </c>
      <c r="E49" t="s">
        <v>9</v>
      </c>
      <c r="F49" t="s">
        <v>150</v>
      </c>
      <c r="G49">
        <v>8175968796</v>
      </c>
      <c r="H49" t="str">
        <f>PROPER(Customer[[#This Row],[C_NAME]])</f>
        <v>Peter</v>
      </c>
      <c r="I49" t="str">
        <f>LOWER(Customer[[#This Row],[C_EMAIL_ID]])</f>
        <v>anne714@gmail.com</v>
      </c>
      <c r="J49" s="1">
        <f>_xlfn.XLOOKUP(B49,Membership!A:A,Membership!B:B)</f>
        <v>29175</v>
      </c>
      <c r="K49" s="1">
        <f>_xlfn.XLOOKUP(B49,Membership!A:A,Membership!C:C)</f>
        <v>30472</v>
      </c>
      <c r="L49">
        <f t="shared" si="1"/>
        <v>3</v>
      </c>
    </row>
    <row r="50" spans="1:12" x14ac:dyDescent="0.25">
      <c r="A50">
        <v>5150</v>
      </c>
      <c r="B50">
        <v>461</v>
      </c>
      <c r="C50" t="s">
        <v>151</v>
      </c>
      <c r="D50" t="s">
        <v>152</v>
      </c>
      <c r="E50" t="s">
        <v>13</v>
      </c>
      <c r="F50" t="s">
        <v>153</v>
      </c>
      <c r="G50">
        <v>2711085992</v>
      </c>
      <c r="H50" t="str">
        <f>PROPER(Customer[[#This Row],[C_NAME]])</f>
        <v>Todd</v>
      </c>
      <c r="I50" t="str">
        <f>LOWER(Customer[[#This Row],[C_EMAIL_ID]])</f>
        <v>michael518@yahoo.com</v>
      </c>
      <c r="J50" s="1">
        <f>_xlfn.XLOOKUP(B50,Membership!A:A,Membership!B:B)</f>
        <v>42926</v>
      </c>
      <c r="K50" s="1">
        <f>_xlfn.XLOOKUP(B50,Membership!A:A,Membership!C:C)</f>
        <v>48907</v>
      </c>
      <c r="L50">
        <f t="shared" si="1"/>
        <v>16</v>
      </c>
    </row>
    <row r="51" spans="1:12" x14ac:dyDescent="0.25">
      <c r="A51">
        <v>693</v>
      </c>
      <c r="B51">
        <v>390</v>
      </c>
      <c r="C51" t="s">
        <v>154</v>
      </c>
      <c r="D51" t="s">
        <v>155</v>
      </c>
      <c r="E51" t="s">
        <v>9</v>
      </c>
      <c r="F51" t="s">
        <v>156</v>
      </c>
      <c r="G51">
        <v>3457826852</v>
      </c>
      <c r="H51" t="str">
        <f>PROPER(Customer[[#This Row],[C_NAME]])</f>
        <v>Stacy</v>
      </c>
      <c r="I51" t="str">
        <f>LOWER(Customer[[#This Row],[C_EMAIL_ID]])</f>
        <v>danielle957@yahoo.co.in</v>
      </c>
      <c r="J51" s="1">
        <f>_xlfn.XLOOKUP(B51,Membership!A:A,Membership!B:B)</f>
        <v>39331</v>
      </c>
      <c r="K51" s="1">
        <f>_xlfn.XLOOKUP(B51,Membership!A:A,Membership!C:C)</f>
        <v>44555</v>
      </c>
      <c r="L51">
        <f t="shared" si="1"/>
        <v>14</v>
      </c>
    </row>
    <row r="52" spans="1:12" x14ac:dyDescent="0.25">
      <c r="A52">
        <v>9598</v>
      </c>
      <c r="B52">
        <v>988</v>
      </c>
      <c r="C52" t="s">
        <v>157</v>
      </c>
      <c r="D52" t="s">
        <v>158</v>
      </c>
      <c r="E52" t="s">
        <v>9</v>
      </c>
      <c r="F52" t="s">
        <v>159</v>
      </c>
      <c r="G52">
        <v>2858707837</v>
      </c>
      <c r="H52" t="str">
        <f>PROPER(Customer[[#This Row],[C_NAME]])</f>
        <v>Frank</v>
      </c>
      <c r="I52" t="str">
        <f>LOWER(Customer[[#This Row],[C_EMAIL_ID]])</f>
        <v>heather632@hotmail.com</v>
      </c>
      <c r="J52" s="1">
        <f>_xlfn.XLOOKUP(B52,Membership!A:A,Membership!B:B)</f>
        <v>30950</v>
      </c>
      <c r="K52" s="1">
        <f>_xlfn.XLOOKUP(B52,Membership!A:A,Membership!C:C)</f>
        <v>31610</v>
      </c>
      <c r="L52">
        <f t="shared" si="1"/>
        <v>1</v>
      </c>
    </row>
    <row r="53" spans="1:12" x14ac:dyDescent="0.25">
      <c r="A53">
        <v>8103</v>
      </c>
      <c r="B53">
        <v>597</v>
      </c>
      <c r="C53" t="s">
        <v>28</v>
      </c>
      <c r="D53" t="s">
        <v>160</v>
      </c>
      <c r="E53" t="s">
        <v>17</v>
      </c>
      <c r="F53" t="s">
        <v>161</v>
      </c>
      <c r="G53">
        <v>2065509695</v>
      </c>
      <c r="H53" t="str">
        <f>PROPER(Customer[[#This Row],[C_NAME]])</f>
        <v>Catherine</v>
      </c>
      <c r="I53" t="str">
        <f>LOWER(Customer[[#This Row],[C_EMAIL_ID]])</f>
        <v>kaitlyn744@yahoo.com</v>
      </c>
      <c r="J53" s="1">
        <f>_xlfn.XLOOKUP(B53,Membership!A:A,Membership!B:B)</f>
        <v>29072</v>
      </c>
      <c r="K53" s="1">
        <f>_xlfn.XLOOKUP(B53,Membership!A:A,Membership!C:C)</f>
        <v>33197</v>
      </c>
      <c r="L53">
        <f t="shared" si="1"/>
        <v>11</v>
      </c>
    </row>
    <row r="54" spans="1:12" x14ac:dyDescent="0.25">
      <c r="A54">
        <v>8894</v>
      </c>
      <c r="B54">
        <v>916</v>
      </c>
      <c r="C54" t="s">
        <v>162</v>
      </c>
      <c r="D54" t="s">
        <v>163</v>
      </c>
      <c r="E54" t="s">
        <v>13</v>
      </c>
      <c r="F54" t="s">
        <v>164</v>
      </c>
      <c r="G54">
        <v>4133664929</v>
      </c>
      <c r="H54" t="str">
        <f>PROPER(Customer[[#This Row],[C_NAME]])</f>
        <v>Daren</v>
      </c>
      <c r="I54" t="str">
        <f>LOWER(Customer[[#This Row],[C_EMAIL_ID]])</f>
        <v>eileen529@google.co.in</v>
      </c>
      <c r="J54" s="1">
        <f>_xlfn.XLOOKUP(B54,Membership!A:A,Membership!B:B)</f>
        <v>39964</v>
      </c>
      <c r="K54" s="1">
        <f>_xlfn.XLOOKUP(B54,Membership!A:A,Membership!C:C)</f>
        <v>44504</v>
      </c>
      <c r="L54">
        <f t="shared" si="1"/>
        <v>12</v>
      </c>
    </row>
    <row r="55" spans="1:12" x14ac:dyDescent="0.25">
      <c r="A55">
        <v>114</v>
      </c>
      <c r="B55">
        <v>135</v>
      </c>
      <c r="C55" t="s">
        <v>165</v>
      </c>
      <c r="D55" t="s">
        <v>166</v>
      </c>
      <c r="E55" t="s">
        <v>9</v>
      </c>
      <c r="F55" t="s">
        <v>167</v>
      </c>
      <c r="G55">
        <v>5958159146</v>
      </c>
      <c r="H55" t="str">
        <f>PROPER(Customer[[#This Row],[C_NAME]])</f>
        <v>Tiffany</v>
      </c>
      <c r="I55" t="str">
        <f>LOWER(Customer[[#This Row],[C_EMAIL_ID]])</f>
        <v>cheyenne213@outlook.com</v>
      </c>
      <c r="J55" s="1">
        <f>_xlfn.XLOOKUP(B55,Membership!A:A,Membership!B:B)</f>
        <v>30298</v>
      </c>
      <c r="K55" s="1">
        <f>_xlfn.XLOOKUP(B55,Membership!A:A,Membership!C:C)</f>
        <v>35154</v>
      </c>
      <c r="L55">
        <f t="shared" si="1"/>
        <v>13</v>
      </c>
    </row>
    <row r="56" spans="1:12" x14ac:dyDescent="0.25">
      <c r="A56">
        <v>6546</v>
      </c>
      <c r="B56">
        <v>262</v>
      </c>
      <c r="C56" t="s">
        <v>168</v>
      </c>
      <c r="D56" t="s">
        <v>169</v>
      </c>
      <c r="E56" t="s">
        <v>13</v>
      </c>
      <c r="F56" t="s">
        <v>170</v>
      </c>
      <c r="G56">
        <v>1022633285</v>
      </c>
      <c r="H56" t="str">
        <f>PROPER(Customer[[#This Row],[C_NAME]])</f>
        <v>Isidro</v>
      </c>
      <c r="I56" t="str">
        <f>LOWER(Customer[[#This Row],[C_EMAIL_ID]])</f>
        <v>ely630@yahoo.com</v>
      </c>
      <c r="J56" s="1">
        <f>_xlfn.XLOOKUP(B56,Membership!A:A,Membership!B:B)</f>
        <v>40299</v>
      </c>
      <c r="K56" s="1">
        <f>_xlfn.XLOOKUP(B56,Membership!A:A,Membership!C:C)</f>
        <v>44142</v>
      </c>
      <c r="L56">
        <f t="shared" si="1"/>
        <v>10</v>
      </c>
    </row>
    <row r="57" spans="1:12" x14ac:dyDescent="0.25">
      <c r="A57">
        <v>3571</v>
      </c>
      <c r="B57">
        <v>844</v>
      </c>
      <c r="C57" t="s">
        <v>171</v>
      </c>
      <c r="D57" t="s">
        <v>172</v>
      </c>
      <c r="E57" t="s">
        <v>17</v>
      </c>
      <c r="F57" t="s">
        <v>173</v>
      </c>
      <c r="G57">
        <v>4283361474</v>
      </c>
      <c r="H57" t="str">
        <f>PROPER(Customer[[#This Row],[C_NAME]])</f>
        <v>Claude</v>
      </c>
      <c r="I57" t="str">
        <f>LOWER(Customer[[#This Row],[C_EMAIL_ID]])</f>
        <v>irby513@hotmail.com</v>
      </c>
      <c r="J57" s="1">
        <f>_xlfn.XLOOKUP(B57,Membership!A:A,Membership!B:B)</f>
        <v>31375</v>
      </c>
      <c r="K57" s="1">
        <f>_xlfn.XLOOKUP(B57,Membership!A:A,Membership!C:C)</f>
        <v>32024</v>
      </c>
      <c r="L57">
        <f t="shared" si="1"/>
        <v>1</v>
      </c>
    </row>
    <row r="58" spans="1:12" x14ac:dyDescent="0.25">
      <c r="A58">
        <v>7316</v>
      </c>
      <c r="B58">
        <v>169</v>
      </c>
      <c r="C58" t="s">
        <v>174</v>
      </c>
      <c r="D58" t="s">
        <v>175</v>
      </c>
      <c r="E58" t="s">
        <v>17</v>
      </c>
      <c r="F58" t="s">
        <v>176</v>
      </c>
      <c r="G58">
        <v>2950413181</v>
      </c>
      <c r="H58" t="str">
        <f>PROPER(Customer[[#This Row],[C_NAME]])</f>
        <v>Gaylon</v>
      </c>
      <c r="I58" t="str">
        <f>LOWER(Customer[[#This Row],[C_EMAIL_ID]])</f>
        <v>genevieve714@hotmail.com</v>
      </c>
      <c r="J58" s="1">
        <f>_xlfn.XLOOKUP(B58,Membership!A:A,Membership!B:B)</f>
        <v>27971</v>
      </c>
      <c r="K58" s="1">
        <f>_xlfn.XLOOKUP(B58,Membership!A:A,Membership!C:C)</f>
        <v>34846</v>
      </c>
      <c r="L58">
        <f t="shared" si="1"/>
        <v>18</v>
      </c>
    </row>
    <row r="59" spans="1:12" x14ac:dyDescent="0.25">
      <c r="A59">
        <v>2478</v>
      </c>
      <c r="B59">
        <v>671</v>
      </c>
      <c r="C59" t="s">
        <v>177</v>
      </c>
      <c r="D59" t="s">
        <v>178</v>
      </c>
      <c r="E59" t="s">
        <v>9</v>
      </c>
      <c r="F59" t="s">
        <v>179</v>
      </c>
      <c r="G59">
        <v>3513023435</v>
      </c>
      <c r="H59" t="str">
        <f>PROPER(Customer[[#This Row],[C_NAME]])</f>
        <v>Adonis</v>
      </c>
      <c r="I59" t="str">
        <f>LOWER(Customer[[#This Row],[C_EMAIL_ID]])</f>
        <v>elliana123@hotmail.com</v>
      </c>
      <c r="J59" s="1">
        <f>_xlfn.XLOOKUP(B59,Membership!A:A,Membership!B:B)</f>
        <v>37775</v>
      </c>
      <c r="K59" s="1">
        <f>_xlfn.XLOOKUP(B59,Membership!A:A,Membership!C:C)</f>
        <v>40119</v>
      </c>
      <c r="L59">
        <f t="shared" si="1"/>
        <v>6</v>
      </c>
    </row>
    <row r="60" spans="1:12" x14ac:dyDescent="0.25">
      <c r="A60">
        <v>1215</v>
      </c>
      <c r="B60">
        <v>353</v>
      </c>
      <c r="C60" t="s">
        <v>154</v>
      </c>
      <c r="D60" t="s">
        <v>180</v>
      </c>
      <c r="E60" t="s">
        <v>9</v>
      </c>
      <c r="F60" t="s">
        <v>181</v>
      </c>
      <c r="G60">
        <v>6379672748</v>
      </c>
      <c r="H60" t="str">
        <f>PROPER(Customer[[#This Row],[C_NAME]])</f>
        <v>Stacy</v>
      </c>
      <c r="I60" t="str">
        <f>LOWER(Customer[[#This Row],[C_EMAIL_ID]])</f>
        <v>katrice318@yahoo.co.in</v>
      </c>
      <c r="J60" s="1">
        <f>_xlfn.XLOOKUP(B60,Membership!A:A,Membership!B:B)</f>
        <v>32419</v>
      </c>
      <c r="K60" s="1">
        <f>_xlfn.XLOOKUP(B60,Membership!A:A,Membership!C:C)</f>
        <v>39518</v>
      </c>
      <c r="L60">
        <f t="shared" si="1"/>
        <v>19</v>
      </c>
    </row>
    <row r="61" spans="1:12" x14ac:dyDescent="0.25">
      <c r="A61">
        <v>5402</v>
      </c>
      <c r="B61">
        <v>776</v>
      </c>
      <c r="C61" t="s">
        <v>171</v>
      </c>
      <c r="D61" t="s">
        <v>182</v>
      </c>
      <c r="E61" t="s">
        <v>17</v>
      </c>
      <c r="F61" t="s">
        <v>183</v>
      </c>
      <c r="G61">
        <v>2335838084</v>
      </c>
      <c r="H61" t="str">
        <f>PROPER(Customer[[#This Row],[C_NAME]])</f>
        <v>Claude</v>
      </c>
      <c r="I61" t="str">
        <f>LOWER(Customer[[#This Row],[C_EMAIL_ID]])</f>
        <v>laverne188@google.co.in</v>
      </c>
      <c r="J61" s="1">
        <f>_xlfn.XLOOKUP(B61,Membership!A:A,Membership!B:B)</f>
        <v>42858</v>
      </c>
      <c r="K61" s="1">
        <f>_xlfn.XLOOKUP(B61,Membership!A:A,Membership!C:C)</f>
        <v>44214</v>
      </c>
      <c r="L61">
        <f t="shared" si="1"/>
        <v>3</v>
      </c>
    </row>
    <row r="62" spans="1:12" x14ac:dyDescent="0.25">
      <c r="A62">
        <v>1647</v>
      </c>
      <c r="B62">
        <v>205</v>
      </c>
      <c r="C62" t="s">
        <v>184</v>
      </c>
      <c r="D62" t="s">
        <v>185</v>
      </c>
      <c r="E62" t="s">
        <v>9</v>
      </c>
      <c r="F62" t="s">
        <v>186</v>
      </c>
      <c r="G62">
        <v>2179414351</v>
      </c>
      <c r="H62" t="str">
        <f>PROPER(Customer[[#This Row],[C_NAME]])</f>
        <v>Bambi</v>
      </c>
      <c r="I62" t="str">
        <f>LOWER(Customer[[#This Row],[C_EMAIL_ID]])</f>
        <v>chasity357@yahoo.co.in</v>
      </c>
      <c r="J62" s="1">
        <f>_xlfn.XLOOKUP(B62,Membership!A:A,Membership!B:B)</f>
        <v>33918</v>
      </c>
      <c r="K62" s="1">
        <f>_xlfn.XLOOKUP(B62,Membership!A:A,Membership!C:C)</f>
        <v>37102</v>
      </c>
      <c r="L62">
        <f t="shared" si="1"/>
        <v>8</v>
      </c>
    </row>
    <row r="63" spans="1:12" x14ac:dyDescent="0.25">
      <c r="A63">
        <v>9423</v>
      </c>
      <c r="B63">
        <v>705</v>
      </c>
      <c r="C63" t="s">
        <v>187</v>
      </c>
      <c r="D63" t="s">
        <v>188</v>
      </c>
      <c r="E63" t="s">
        <v>17</v>
      </c>
      <c r="F63" t="s">
        <v>189</v>
      </c>
      <c r="G63">
        <v>9984833487</v>
      </c>
      <c r="H63" t="str">
        <f>PROPER(Customer[[#This Row],[C_NAME]])</f>
        <v>Isabela</v>
      </c>
      <c r="I63" t="str">
        <f>LOWER(Customer[[#This Row],[C_EMAIL_ID]])</f>
        <v>kyle670@gmail.com</v>
      </c>
      <c r="J63" s="1">
        <f>_xlfn.XLOOKUP(B63,Membership!A:A,Membership!B:B)</f>
        <v>38692</v>
      </c>
      <c r="K63" s="1">
        <f>_xlfn.XLOOKUP(B63,Membership!A:A,Membership!C:C)</f>
        <v>44323</v>
      </c>
      <c r="L63">
        <f t="shared" si="1"/>
        <v>15</v>
      </c>
    </row>
    <row r="64" spans="1:12" x14ac:dyDescent="0.25">
      <c r="A64">
        <v>6404</v>
      </c>
      <c r="B64">
        <v>10</v>
      </c>
      <c r="C64" t="s">
        <v>190</v>
      </c>
      <c r="D64" t="s">
        <v>191</v>
      </c>
      <c r="E64" t="s">
        <v>9</v>
      </c>
      <c r="F64" t="s">
        <v>159</v>
      </c>
      <c r="G64">
        <v>4771182901</v>
      </c>
      <c r="H64" t="str">
        <f>PROPER(Customer[[#This Row],[C_NAME]])</f>
        <v>Philip</v>
      </c>
      <c r="I64" t="str">
        <f>LOWER(Customer[[#This Row],[C_EMAIL_ID]])</f>
        <v>gene977@ymail.co.in</v>
      </c>
      <c r="J64" s="1">
        <f>_xlfn.XLOOKUP(B64,Membership!A:A,Membership!B:B)</f>
        <v>34702</v>
      </c>
      <c r="K64" s="1">
        <f>_xlfn.XLOOKUP(B64,Membership!A:A,Membership!C:C)</f>
        <v>36802</v>
      </c>
      <c r="L64">
        <f t="shared" si="1"/>
        <v>5</v>
      </c>
    </row>
    <row r="65" spans="1:12" x14ac:dyDescent="0.25">
      <c r="A65">
        <v>6767</v>
      </c>
      <c r="B65">
        <v>195</v>
      </c>
      <c r="C65" t="s">
        <v>192</v>
      </c>
      <c r="D65" t="s">
        <v>193</v>
      </c>
      <c r="E65" t="s">
        <v>13</v>
      </c>
      <c r="F65" t="s">
        <v>194</v>
      </c>
      <c r="G65">
        <v>6825096485</v>
      </c>
      <c r="H65" t="str">
        <f>PROPER(Customer[[#This Row],[C_NAME]])</f>
        <v>Joe</v>
      </c>
      <c r="I65" t="str">
        <f>LOWER(Customer[[#This Row],[C_EMAIL_ID]])</f>
        <v>marlene682@outlook.com</v>
      </c>
      <c r="J65" s="1">
        <f>_xlfn.XLOOKUP(B65,Membership!A:A,Membership!B:B)</f>
        <v>40882</v>
      </c>
      <c r="K65" s="1">
        <f>_xlfn.XLOOKUP(B65,Membership!A:A,Membership!C:C)</f>
        <v>41117</v>
      </c>
      <c r="L65">
        <f t="shared" si="1"/>
        <v>0</v>
      </c>
    </row>
    <row r="66" spans="1:12" x14ac:dyDescent="0.25">
      <c r="A66">
        <v>1278</v>
      </c>
      <c r="B66">
        <v>136</v>
      </c>
      <c r="C66" t="s">
        <v>55</v>
      </c>
      <c r="D66" t="s">
        <v>195</v>
      </c>
      <c r="E66" t="s">
        <v>13</v>
      </c>
      <c r="F66" t="s">
        <v>196</v>
      </c>
      <c r="G66">
        <v>9801474305</v>
      </c>
      <c r="H66" t="str">
        <f>PROPER(Customer[[#This Row],[C_NAME]])</f>
        <v>Alonzo</v>
      </c>
      <c r="I66" t="str">
        <f>LOWER(Customer[[#This Row],[C_EMAIL_ID]])</f>
        <v>clay181@hotmail.com</v>
      </c>
      <c r="J66" s="1">
        <f>_xlfn.XLOOKUP(B66,Membership!A:A,Membership!B:B)</f>
        <v>28365</v>
      </c>
      <c r="K66" s="1">
        <f>_xlfn.XLOOKUP(B66,Membership!A:A,Membership!C:C)</f>
        <v>35317</v>
      </c>
      <c r="L66">
        <f t="shared" ref="L66:L97" si="2">DATEDIF(J66,K66,"Y")</f>
        <v>19</v>
      </c>
    </row>
    <row r="67" spans="1:12" x14ac:dyDescent="0.25">
      <c r="A67">
        <v>1334</v>
      </c>
      <c r="B67">
        <v>500</v>
      </c>
      <c r="C67" t="s">
        <v>190</v>
      </c>
      <c r="D67" t="s">
        <v>197</v>
      </c>
      <c r="E67" t="s">
        <v>9</v>
      </c>
      <c r="F67" t="s">
        <v>198</v>
      </c>
      <c r="G67">
        <v>7636788633</v>
      </c>
      <c r="H67" t="str">
        <f>PROPER(Customer[[#This Row],[C_NAME]])</f>
        <v>Philip</v>
      </c>
      <c r="I67" t="str">
        <f>LOWER(Customer[[#This Row],[C_EMAIL_ID]])</f>
        <v>baldemar170@yahoo.co.in</v>
      </c>
      <c r="J67" s="1">
        <f>_xlfn.XLOOKUP(B67,Membership!A:A,Membership!B:B)</f>
        <v>40312</v>
      </c>
      <c r="K67" s="1">
        <f>_xlfn.XLOOKUP(B67,Membership!A:A,Membership!C:C)</f>
        <v>41125</v>
      </c>
      <c r="L67">
        <f t="shared" si="2"/>
        <v>2</v>
      </c>
    </row>
    <row r="68" spans="1:12" x14ac:dyDescent="0.25">
      <c r="A68">
        <v>8887</v>
      </c>
      <c r="B68">
        <v>969</v>
      </c>
      <c r="C68" t="s">
        <v>199</v>
      </c>
      <c r="D68" t="s">
        <v>200</v>
      </c>
      <c r="E68" t="s">
        <v>17</v>
      </c>
      <c r="F68" t="s">
        <v>201</v>
      </c>
      <c r="G68">
        <v>6328420950</v>
      </c>
      <c r="H68" t="str">
        <f>PROPER(Customer[[#This Row],[C_NAME]])</f>
        <v>Lola</v>
      </c>
      <c r="I68" t="str">
        <f>LOWER(Customer[[#This Row],[C_EMAIL_ID]])</f>
        <v>claudia529@google.co.in</v>
      </c>
      <c r="J68" s="1">
        <f>_xlfn.XLOOKUP(B68,Membership!A:A,Membership!B:B)</f>
        <v>29901</v>
      </c>
      <c r="K68" s="1">
        <f>_xlfn.XLOOKUP(B68,Membership!A:A,Membership!C:C)</f>
        <v>36594</v>
      </c>
      <c r="L68">
        <f t="shared" si="2"/>
        <v>18</v>
      </c>
    </row>
    <row r="69" spans="1:12" x14ac:dyDescent="0.25">
      <c r="A69">
        <v>9858</v>
      </c>
      <c r="B69">
        <v>817</v>
      </c>
      <c r="C69" t="s">
        <v>202</v>
      </c>
      <c r="D69" t="s">
        <v>203</v>
      </c>
      <c r="E69" t="s">
        <v>13</v>
      </c>
      <c r="F69" t="s">
        <v>204</v>
      </c>
      <c r="G69">
        <v>1174341766</v>
      </c>
      <c r="H69" t="str">
        <f>PROPER(Customer[[#This Row],[C_NAME]])</f>
        <v>Jennie</v>
      </c>
      <c r="I69" t="str">
        <f>LOWER(Customer[[#This Row],[C_EMAIL_ID]])</f>
        <v>arya715@ymail.co.in</v>
      </c>
      <c r="J69" s="1">
        <f>_xlfn.XLOOKUP(B69,Membership!A:A,Membership!B:B)</f>
        <v>37522</v>
      </c>
      <c r="K69" s="1">
        <f>_xlfn.XLOOKUP(B69,Membership!A:A,Membership!C:C)</f>
        <v>38801</v>
      </c>
      <c r="L69">
        <f t="shared" si="2"/>
        <v>3</v>
      </c>
    </row>
    <row r="70" spans="1:12" x14ac:dyDescent="0.25">
      <c r="A70">
        <v>9636</v>
      </c>
      <c r="B70">
        <v>833</v>
      </c>
      <c r="C70" t="s">
        <v>205</v>
      </c>
      <c r="D70" t="s">
        <v>206</v>
      </c>
      <c r="E70" t="s">
        <v>13</v>
      </c>
      <c r="F70" t="s">
        <v>207</v>
      </c>
      <c r="G70">
        <v>9030541371</v>
      </c>
      <c r="H70" t="str">
        <f>PROPER(Customer[[#This Row],[C_NAME]])</f>
        <v>Brennan</v>
      </c>
      <c r="I70" t="str">
        <f>LOWER(Customer[[#This Row],[C_EMAIL_ID]])</f>
        <v>rodney10@ymail.com</v>
      </c>
      <c r="J70" s="1">
        <f>_xlfn.XLOOKUP(B70,Membership!A:A,Membership!B:B)</f>
        <v>34590</v>
      </c>
      <c r="K70" s="1">
        <f>_xlfn.XLOOKUP(B70,Membership!A:A,Membership!C:C)</f>
        <v>40297</v>
      </c>
      <c r="L70">
        <f t="shared" si="2"/>
        <v>15</v>
      </c>
    </row>
    <row r="71" spans="1:12" x14ac:dyDescent="0.25">
      <c r="A71">
        <v>9943</v>
      </c>
      <c r="B71">
        <v>221</v>
      </c>
      <c r="C71" t="s">
        <v>208</v>
      </c>
      <c r="D71" t="s">
        <v>209</v>
      </c>
      <c r="E71" t="s">
        <v>9</v>
      </c>
      <c r="F71" t="s">
        <v>210</v>
      </c>
      <c r="G71">
        <v>3573904144</v>
      </c>
      <c r="H71" t="str">
        <f>PROPER(Customer[[#This Row],[C_NAME]])</f>
        <v>Juan</v>
      </c>
      <c r="I71" t="str">
        <f>LOWER(Customer[[#This Row],[C_EMAIL_ID]])</f>
        <v>amelia849@hotmail.com</v>
      </c>
      <c r="J71" s="1">
        <f>_xlfn.XLOOKUP(B71,Membership!A:A,Membership!B:B)</f>
        <v>30316</v>
      </c>
      <c r="K71" s="1">
        <f>_xlfn.XLOOKUP(B71,Membership!A:A,Membership!C:C)</f>
        <v>31268</v>
      </c>
      <c r="L71">
        <f t="shared" si="2"/>
        <v>2</v>
      </c>
    </row>
    <row r="72" spans="1:12" x14ac:dyDescent="0.25">
      <c r="A72">
        <v>1246</v>
      </c>
      <c r="B72">
        <v>77</v>
      </c>
      <c r="C72" t="s">
        <v>211</v>
      </c>
      <c r="D72" t="s">
        <v>212</v>
      </c>
      <c r="E72" t="s">
        <v>17</v>
      </c>
      <c r="F72" t="s">
        <v>213</v>
      </c>
      <c r="G72">
        <v>9998350900</v>
      </c>
      <c r="H72" t="str">
        <f>PROPER(Customer[[#This Row],[C_NAME]])</f>
        <v>Carlotta</v>
      </c>
      <c r="I72" t="str">
        <f>LOWER(Customer[[#This Row],[C_EMAIL_ID]])</f>
        <v>stephanie808@gmail.com</v>
      </c>
      <c r="J72" s="1">
        <f>_xlfn.XLOOKUP(B72,Membership!A:A,Membership!B:B)</f>
        <v>35387</v>
      </c>
      <c r="K72" s="1">
        <f>_xlfn.XLOOKUP(B72,Membership!A:A,Membership!C:C)</f>
        <v>42482</v>
      </c>
      <c r="L72">
        <f t="shared" si="2"/>
        <v>19</v>
      </c>
    </row>
    <row r="73" spans="1:12" x14ac:dyDescent="0.25">
      <c r="A73">
        <v>4527</v>
      </c>
      <c r="B73">
        <v>800</v>
      </c>
      <c r="C73" t="s">
        <v>214</v>
      </c>
      <c r="D73" t="s">
        <v>215</v>
      </c>
      <c r="E73" t="s">
        <v>13</v>
      </c>
      <c r="F73" t="s">
        <v>216</v>
      </c>
      <c r="G73">
        <v>3715864347</v>
      </c>
      <c r="H73" t="str">
        <f>PROPER(Customer[[#This Row],[C_NAME]])</f>
        <v>Austin</v>
      </c>
      <c r="I73" t="str">
        <f>LOWER(Customer[[#This Row],[C_EMAIL_ID]])</f>
        <v>dejon859@ymail.com</v>
      </c>
      <c r="J73" s="1">
        <f>_xlfn.XLOOKUP(B73,Membership!A:A,Membership!B:B)</f>
        <v>32842</v>
      </c>
      <c r="K73" s="1">
        <f>_xlfn.XLOOKUP(B73,Membership!A:A,Membership!C:C)</f>
        <v>39978</v>
      </c>
      <c r="L73">
        <f t="shared" si="2"/>
        <v>19</v>
      </c>
    </row>
    <row r="74" spans="1:12" x14ac:dyDescent="0.25">
      <c r="A74">
        <v>3782</v>
      </c>
      <c r="B74">
        <v>146</v>
      </c>
      <c r="C74" t="s">
        <v>217</v>
      </c>
      <c r="D74" t="s">
        <v>218</v>
      </c>
      <c r="E74" t="s">
        <v>17</v>
      </c>
      <c r="F74" t="s">
        <v>219</v>
      </c>
      <c r="G74">
        <v>8089653286</v>
      </c>
      <c r="H74" t="str">
        <f>PROPER(Customer[[#This Row],[C_NAME]])</f>
        <v>Naisha</v>
      </c>
      <c r="I74" t="str">
        <f>LOWER(Customer[[#This Row],[C_EMAIL_ID]])</f>
        <v>lawrence813@gmail.com</v>
      </c>
      <c r="J74" s="1">
        <f>_xlfn.XLOOKUP(B74,Membership!A:A,Membership!B:B)</f>
        <v>36613</v>
      </c>
      <c r="K74" s="1">
        <f>_xlfn.XLOOKUP(B74,Membership!A:A,Membership!C:C)</f>
        <v>39002</v>
      </c>
      <c r="L74">
        <f t="shared" si="2"/>
        <v>6</v>
      </c>
    </row>
    <row r="75" spans="1:12" x14ac:dyDescent="0.25">
      <c r="A75">
        <v>6225</v>
      </c>
      <c r="B75">
        <v>531</v>
      </c>
      <c r="C75" t="s">
        <v>133</v>
      </c>
      <c r="D75" t="s">
        <v>220</v>
      </c>
      <c r="E75" t="s">
        <v>9</v>
      </c>
      <c r="F75" t="s">
        <v>221</v>
      </c>
      <c r="G75">
        <v>9827842133</v>
      </c>
      <c r="H75" t="str">
        <f>PROPER(Customer[[#This Row],[C_NAME]])</f>
        <v>Maurice</v>
      </c>
      <c r="I75" t="str">
        <f>LOWER(Customer[[#This Row],[C_EMAIL_ID]])</f>
        <v>felicity667@ymail.com</v>
      </c>
      <c r="J75" s="1">
        <f>_xlfn.XLOOKUP(B75,Membership!A:A,Membership!B:B)</f>
        <v>40143</v>
      </c>
      <c r="K75" s="1">
        <f>_xlfn.XLOOKUP(B75,Membership!A:A,Membership!C:C)</f>
        <v>46708</v>
      </c>
      <c r="L75">
        <f t="shared" si="2"/>
        <v>17</v>
      </c>
    </row>
    <row r="76" spans="1:12" x14ac:dyDescent="0.25">
      <c r="A76">
        <v>2257</v>
      </c>
      <c r="B76">
        <v>503</v>
      </c>
      <c r="C76" t="s">
        <v>222</v>
      </c>
      <c r="D76" t="s">
        <v>223</v>
      </c>
      <c r="E76" t="s">
        <v>17</v>
      </c>
      <c r="F76" t="s">
        <v>224</v>
      </c>
      <c r="G76">
        <v>2998991184</v>
      </c>
      <c r="H76" t="str">
        <f>PROPER(Customer[[#This Row],[C_NAME]])</f>
        <v>Gabrielle</v>
      </c>
      <c r="I76" t="str">
        <f>LOWER(Customer[[#This Row],[C_EMAIL_ID]])</f>
        <v>kim205@hotmail.com</v>
      </c>
      <c r="J76" s="1">
        <f>_xlfn.XLOOKUP(B76,Membership!A:A,Membership!B:B)</f>
        <v>36013</v>
      </c>
      <c r="K76" s="1">
        <f>_xlfn.XLOOKUP(B76,Membership!A:A,Membership!C:C)</f>
        <v>41934</v>
      </c>
      <c r="L76">
        <f t="shared" si="2"/>
        <v>16</v>
      </c>
    </row>
    <row r="77" spans="1:12" x14ac:dyDescent="0.25">
      <c r="A77">
        <v>9177</v>
      </c>
      <c r="B77">
        <v>19</v>
      </c>
      <c r="C77" t="s">
        <v>225</v>
      </c>
      <c r="D77" t="s">
        <v>226</v>
      </c>
      <c r="E77" t="s">
        <v>13</v>
      </c>
      <c r="F77" t="s">
        <v>227</v>
      </c>
      <c r="G77">
        <v>7591554939</v>
      </c>
      <c r="H77" t="str">
        <f>PROPER(Customer[[#This Row],[C_NAME]])</f>
        <v>Grover</v>
      </c>
      <c r="I77" t="str">
        <f>LOWER(Customer[[#This Row],[C_EMAIL_ID]])</f>
        <v>morgan937@yahoo.com</v>
      </c>
      <c r="J77" s="1">
        <f>_xlfn.XLOOKUP(B77,Membership!A:A,Membership!B:B)</f>
        <v>40529</v>
      </c>
      <c r="K77" s="1">
        <f>_xlfn.XLOOKUP(B77,Membership!A:A,Membership!C:C)</f>
        <v>44199</v>
      </c>
      <c r="L77">
        <f t="shared" si="2"/>
        <v>10</v>
      </c>
    </row>
    <row r="78" spans="1:12" x14ac:dyDescent="0.25">
      <c r="A78">
        <v>8703</v>
      </c>
      <c r="B78">
        <v>897</v>
      </c>
      <c r="C78" t="s">
        <v>228</v>
      </c>
      <c r="D78" t="s">
        <v>229</v>
      </c>
      <c r="E78" t="s">
        <v>9</v>
      </c>
      <c r="F78" t="s">
        <v>21</v>
      </c>
      <c r="G78">
        <v>7320532389</v>
      </c>
      <c r="H78" t="str">
        <f>PROPER(Customer[[#This Row],[C_NAME]])</f>
        <v>Carter</v>
      </c>
      <c r="I78" t="str">
        <f>LOWER(Customer[[#This Row],[C_EMAIL_ID]])</f>
        <v>hudson500@gmail.com</v>
      </c>
      <c r="J78" s="1">
        <f>_xlfn.XLOOKUP(B78,Membership!A:A,Membership!B:B)</f>
        <v>35922</v>
      </c>
      <c r="K78" s="1">
        <f>_xlfn.XLOOKUP(B78,Membership!A:A,Membership!C:C)</f>
        <v>36252</v>
      </c>
      <c r="L78">
        <f t="shared" si="2"/>
        <v>0</v>
      </c>
    </row>
    <row r="79" spans="1:12" x14ac:dyDescent="0.25">
      <c r="A79">
        <v>3514</v>
      </c>
      <c r="B79">
        <v>703</v>
      </c>
      <c r="C79" t="s">
        <v>171</v>
      </c>
      <c r="D79" t="s">
        <v>230</v>
      </c>
      <c r="E79" t="s">
        <v>13</v>
      </c>
      <c r="F79" t="s">
        <v>231</v>
      </c>
      <c r="G79">
        <v>8552082746</v>
      </c>
      <c r="H79" t="str">
        <f>PROPER(Customer[[#This Row],[C_NAME]])</f>
        <v>Claude</v>
      </c>
      <c r="I79" t="str">
        <f>LOWER(Customer[[#This Row],[C_EMAIL_ID]])</f>
        <v>stacy454@hotmail.com</v>
      </c>
      <c r="J79" s="1">
        <f>_xlfn.XLOOKUP(B79,Membership!A:A,Membership!B:B)</f>
        <v>31441</v>
      </c>
      <c r="K79" s="1">
        <f>_xlfn.XLOOKUP(B79,Membership!A:A,Membership!C:C)</f>
        <v>31780</v>
      </c>
      <c r="L79">
        <f t="shared" si="2"/>
        <v>0</v>
      </c>
    </row>
    <row r="80" spans="1:12" x14ac:dyDescent="0.25">
      <c r="A80">
        <v>3089</v>
      </c>
      <c r="B80">
        <v>249</v>
      </c>
      <c r="C80" t="s">
        <v>232</v>
      </c>
      <c r="D80" t="s">
        <v>233</v>
      </c>
      <c r="E80" t="s">
        <v>9</v>
      </c>
      <c r="F80" t="s">
        <v>234</v>
      </c>
      <c r="G80">
        <v>8015529354</v>
      </c>
      <c r="H80" t="str">
        <f>PROPER(Customer[[#This Row],[C_NAME]])</f>
        <v>Bianca</v>
      </c>
      <c r="I80" t="str">
        <f>LOWER(Customer[[#This Row],[C_EMAIL_ID]])</f>
        <v>peter111@ymail.co.in</v>
      </c>
      <c r="J80" s="1">
        <f>_xlfn.XLOOKUP(B80,Membership!A:A,Membership!B:B)</f>
        <v>37119</v>
      </c>
      <c r="K80" s="1">
        <f>_xlfn.XLOOKUP(B80,Membership!A:A,Membership!C:C)</f>
        <v>37384</v>
      </c>
      <c r="L80">
        <f t="shared" si="2"/>
        <v>0</v>
      </c>
    </row>
    <row r="81" spans="1:12" x14ac:dyDescent="0.25">
      <c r="A81">
        <v>7253</v>
      </c>
      <c r="B81">
        <v>360</v>
      </c>
      <c r="C81" t="s">
        <v>157</v>
      </c>
      <c r="D81" t="s">
        <v>235</v>
      </c>
      <c r="E81" t="s">
        <v>9</v>
      </c>
      <c r="F81" t="s">
        <v>236</v>
      </c>
      <c r="G81">
        <v>9700239171</v>
      </c>
      <c r="H81" t="str">
        <f>PROPER(Customer[[#This Row],[C_NAME]])</f>
        <v>Frank</v>
      </c>
      <c r="I81" t="str">
        <f>LOWER(Customer[[#This Row],[C_EMAIL_ID]])</f>
        <v>beth644@outlook.com</v>
      </c>
      <c r="J81" s="1">
        <f>_xlfn.XLOOKUP(B81,Membership!A:A,Membership!B:B)</f>
        <v>29113</v>
      </c>
      <c r="K81" s="1">
        <f>_xlfn.XLOOKUP(B81,Membership!A:A,Membership!C:C)</f>
        <v>34515</v>
      </c>
      <c r="L81">
        <f t="shared" si="2"/>
        <v>14</v>
      </c>
    </row>
    <row r="82" spans="1:12" x14ac:dyDescent="0.25">
      <c r="A82">
        <v>8786</v>
      </c>
      <c r="B82">
        <v>327</v>
      </c>
      <c r="C82" t="s">
        <v>237</v>
      </c>
      <c r="D82" t="s">
        <v>238</v>
      </c>
      <c r="E82" t="s">
        <v>9</v>
      </c>
      <c r="F82" t="s">
        <v>239</v>
      </c>
      <c r="G82">
        <v>8588987011</v>
      </c>
      <c r="H82" t="str">
        <f>PROPER(Customer[[#This Row],[C_NAME]])</f>
        <v>Marie</v>
      </c>
      <c r="I82" t="str">
        <f>LOWER(Customer[[#This Row],[C_EMAIL_ID]])</f>
        <v>devon640@hotmail.com</v>
      </c>
      <c r="J82" s="1">
        <f>_xlfn.XLOOKUP(B82,Membership!A:A,Membership!B:B)</f>
        <v>42960</v>
      </c>
      <c r="K82" s="1">
        <f>_xlfn.XLOOKUP(B82,Membership!A:A,Membership!C:C)</f>
        <v>46401</v>
      </c>
      <c r="L82">
        <f t="shared" si="2"/>
        <v>9</v>
      </c>
    </row>
    <row r="83" spans="1:12" x14ac:dyDescent="0.25">
      <c r="A83">
        <v>1211</v>
      </c>
      <c r="B83">
        <v>121</v>
      </c>
      <c r="C83" t="s">
        <v>240</v>
      </c>
      <c r="D83" t="s">
        <v>241</v>
      </c>
      <c r="E83" t="s">
        <v>9</v>
      </c>
      <c r="F83" t="s">
        <v>242</v>
      </c>
      <c r="G83">
        <v>2797657807</v>
      </c>
      <c r="H83" t="str">
        <f>PROPER(Customer[[#This Row],[C_NAME]])</f>
        <v>Neri</v>
      </c>
      <c r="I83" t="str">
        <f>LOWER(Customer[[#This Row],[C_EMAIL_ID]])</f>
        <v>jonathan257@google.co.in</v>
      </c>
      <c r="J83" s="1">
        <f>_xlfn.XLOOKUP(B83,Membership!A:A,Membership!B:B)</f>
        <v>41167</v>
      </c>
      <c r="K83" s="1">
        <f>_xlfn.XLOOKUP(B83,Membership!A:A,Membership!C:C)</f>
        <v>42238</v>
      </c>
      <c r="L83">
        <f t="shared" si="2"/>
        <v>2</v>
      </c>
    </row>
    <row r="84" spans="1:12" x14ac:dyDescent="0.25">
      <c r="A84">
        <v>359</v>
      </c>
      <c r="B84">
        <v>614</v>
      </c>
      <c r="C84" t="s">
        <v>243</v>
      </c>
      <c r="D84" t="s">
        <v>244</v>
      </c>
      <c r="E84" t="s">
        <v>9</v>
      </c>
      <c r="F84" t="s">
        <v>245</v>
      </c>
      <c r="G84">
        <v>3420855911</v>
      </c>
      <c r="H84" t="str">
        <f>PROPER(Customer[[#This Row],[C_NAME]])</f>
        <v>Chelsey</v>
      </c>
      <c r="I84" t="str">
        <f>LOWER(Customer[[#This Row],[C_EMAIL_ID]])</f>
        <v>benita200@yahoo.co.in</v>
      </c>
      <c r="J84" s="1">
        <f>_xlfn.XLOOKUP(B84,Membership!A:A,Membership!B:B)</f>
        <v>31441</v>
      </c>
      <c r="K84" s="1">
        <f>_xlfn.XLOOKUP(B84,Membership!A:A,Membership!C:C)</f>
        <v>32606</v>
      </c>
      <c r="L84">
        <f t="shared" si="2"/>
        <v>3</v>
      </c>
    </row>
    <row r="85" spans="1:12" x14ac:dyDescent="0.25">
      <c r="A85">
        <v>2066</v>
      </c>
      <c r="B85">
        <v>80</v>
      </c>
      <c r="C85" t="s">
        <v>28</v>
      </c>
      <c r="D85" t="s">
        <v>246</v>
      </c>
      <c r="E85" t="s">
        <v>17</v>
      </c>
      <c r="F85" t="s">
        <v>247</v>
      </c>
      <c r="G85">
        <v>5965931339</v>
      </c>
      <c r="H85" t="str">
        <f>PROPER(Customer[[#This Row],[C_NAME]])</f>
        <v>Catherine</v>
      </c>
      <c r="I85" t="str">
        <f>LOWER(Customer[[#This Row],[C_EMAIL_ID]])</f>
        <v>john780@yahoo.com</v>
      </c>
      <c r="J85" s="1">
        <f>_xlfn.XLOOKUP(B85,Membership!A:A,Membership!B:B)</f>
        <v>38436</v>
      </c>
      <c r="K85" s="1">
        <f>_xlfn.XLOOKUP(B85,Membership!A:A,Membership!C:C)</f>
        <v>45198</v>
      </c>
      <c r="L85">
        <f t="shared" si="2"/>
        <v>18</v>
      </c>
    </row>
    <row r="86" spans="1:12" x14ac:dyDescent="0.25">
      <c r="A86">
        <v>4322</v>
      </c>
      <c r="B86">
        <v>401</v>
      </c>
      <c r="C86" t="s">
        <v>248</v>
      </c>
      <c r="D86" t="s">
        <v>249</v>
      </c>
      <c r="E86" t="s">
        <v>9</v>
      </c>
      <c r="F86" t="s">
        <v>250</v>
      </c>
      <c r="G86">
        <v>7775860985</v>
      </c>
      <c r="H86" t="str">
        <f>PROPER(Customer[[#This Row],[C_NAME]])</f>
        <v>Lucien</v>
      </c>
      <c r="I86" t="str">
        <f>LOWER(Customer[[#This Row],[C_EMAIL_ID]])</f>
        <v>jan805@ymail.com</v>
      </c>
      <c r="J86" s="1">
        <f>_xlfn.XLOOKUP(B86,Membership!A:A,Membership!B:B)</f>
        <v>36906</v>
      </c>
      <c r="K86" s="1">
        <f>_xlfn.XLOOKUP(B86,Membership!A:A,Membership!C:C)</f>
        <v>39080</v>
      </c>
      <c r="L86">
        <f t="shared" si="2"/>
        <v>5</v>
      </c>
    </row>
    <row r="87" spans="1:12" x14ac:dyDescent="0.25">
      <c r="A87">
        <v>7773</v>
      </c>
      <c r="B87">
        <v>914</v>
      </c>
      <c r="C87" t="s">
        <v>251</v>
      </c>
      <c r="D87" t="s">
        <v>252</v>
      </c>
      <c r="E87" t="s">
        <v>9</v>
      </c>
      <c r="F87" t="s">
        <v>253</v>
      </c>
      <c r="G87">
        <v>2945958018</v>
      </c>
      <c r="H87" t="str">
        <f>PROPER(Customer[[#This Row],[C_NAME]])</f>
        <v>Aidan</v>
      </c>
      <c r="I87" t="str">
        <f>LOWER(Customer[[#This Row],[C_EMAIL_ID]])</f>
        <v>robert988@google.co.in</v>
      </c>
      <c r="J87" s="1">
        <f>_xlfn.XLOOKUP(B87,Membership!A:A,Membership!B:B)</f>
        <v>31368</v>
      </c>
      <c r="K87" s="1">
        <f>_xlfn.XLOOKUP(B87,Membership!A:A,Membership!C:C)</f>
        <v>36107</v>
      </c>
      <c r="L87">
        <f t="shared" si="2"/>
        <v>12</v>
      </c>
    </row>
    <row r="88" spans="1:12" x14ac:dyDescent="0.25">
      <c r="A88">
        <v>6746</v>
      </c>
      <c r="B88">
        <v>713</v>
      </c>
      <c r="C88" t="s">
        <v>254</v>
      </c>
      <c r="D88" t="s">
        <v>255</v>
      </c>
      <c r="E88" t="s">
        <v>13</v>
      </c>
      <c r="F88" t="s">
        <v>256</v>
      </c>
      <c r="G88">
        <v>8157767838</v>
      </c>
      <c r="H88" t="str">
        <f>PROPER(Customer[[#This Row],[C_NAME]])</f>
        <v>Tomeka</v>
      </c>
      <c r="I88" t="str">
        <f>LOWER(Customer[[#This Row],[C_EMAIL_ID]])</f>
        <v>kaitlyn60@yahoo.com</v>
      </c>
      <c r="J88" s="1">
        <f>_xlfn.XLOOKUP(B88,Membership!A:A,Membership!B:B)</f>
        <v>28068</v>
      </c>
      <c r="K88" s="1">
        <f>_xlfn.XLOOKUP(B88,Membership!A:A,Membership!C:C)</f>
        <v>33221</v>
      </c>
      <c r="L88">
        <f t="shared" si="2"/>
        <v>14</v>
      </c>
    </row>
    <row r="89" spans="1:12" x14ac:dyDescent="0.25">
      <c r="A89">
        <v>6732</v>
      </c>
      <c r="B89">
        <v>568</v>
      </c>
      <c r="C89" t="s">
        <v>257</v>
      </c>
      <c r="D89" t="s">
        <v>258</v>
      </c>
      <c r="E89" t="s">
        <v>9</v>
      </c>
      <c r="F89" t="s">
        <v>259</v>
      </c>
      <c r="G89">
        <v>9712766674</v>
      </c>
      <c r="H89" t="str">
        <f>PROPER(Customer[[#This Row],[C_NAME]])</f>
        <v>Theresa</v>
      </c>
      <c r="I89" t="str">
        <f>LOWER(Customer[[#This Row],[C_EMAIL_ID]])</f>
        <v>stephan274@yahoo.co.in</v>
      </c>
      <c r="J89" s="1">
        <f>_xlfn.XLOOKUP(B89,Membership!A:A,Membership!B:B)</f>
        <v>33031</v>
      </c>
      <c r="K89" s="1">
        <f>_xlfn.XLOOKUP(B89,Membership!A:A,Membership!C:C)</f>
        <v>37004</v>
      </c>
      <c r="L89">
        <f t="shared" si="2"/>
        <v>10</v>
      </c>
    </row>
    <row r="90" spans="1:12" x14ac:dyDescent="0.25">
      <c r="A90">
        <v>805</v>
      </c>
      <c r="B90">
        <v>752</v>
      </c>
      <c r="C90" t="s">
        <v>260</v>
      </c>
      <c r="D90" t="s">
        <v>261</v>
      </c>
      <c r="E90" t="s">
        <v>17</v>
      </c>
      <c r="F90" t="s">
        <v>262</v>
      </c>
      <c r="G90">
        <v>2366659988</v>
      </c>
      <c r="H90" t="str">
        <f>PROPER(Customer[[#This Row],[C_NAME]])</f>
        <v>Korie</v>
      </c>
      <c r="I90" t="str">
        <f>LOWER(Customer[[#This Row],[C_EMAIL_ID]])</f>
        <v>emma964@gmail.com</v>
      </c>
      <c r="J90" s="1">
        <f>_xlfn.XLOOKUP(B90,Membership!A:A,Membership!B:B)</f>
        <v>41782</v>
      </c>
      <c r="K90" s="1">
        <f>_xlfn.XLOOKUP(B90,Membership!A:A,Membership!C:C)</f>
        <v>42648</v>
      </c>
      <c r="L90">
        <f t="shared" si="2"/>
        <v>2</v>
      </c>
    </row>
    <row r="91" spans="1:12" x14ac:dyDescent="0.25">
      <c r="A91">
        <v>7540</v>
      </c>
      <c r="B91">
        <v>867</v>
      </c>
      <c r="C91" t="s">
        <v>263</v>
      </c>
      <c r="D91" t="s">
        <v>264</v>
      </c>
      <c r="E91" t="s">
        <v>17</v>
      </c>
      <c r="F91" t="s">
        <v>265</v>
      </c>
      <c r="G91">
        <v>2771856986</v>
      </c>
      <c r="H91" t="str">
        <f>PROPER(Customer[[#This Row],[C_NAME]])</f>
        <v>Misael</v>
      </c>
      <c r="I91" t="str">
        <f>LOWER(Customer[[#This Row],[C_EMAIL_ID]])</f>
        <v>monica700@gmail.com</v>
      </c>
      <c r="J91" s="1">
        <f>_xlfn.XLOOKUP(B91,Membership!A:A,Membership!B:B)</f>
        <v>39674</v>
      </c>
      <c r="K91" s="1">
        <f>_xlfn.XLOOKUP(B91,Membership!A:A,Membership!C:C)</f>
        <v>45603</v>
      </c>
      <c r="L91">
        <f t="shared" si="2"/>
        <v>16</v>
      </c>
    </row>
    <row r="92" spans="1:12" x14ac:dyDescent="0.25">
      <c r="A92">
        <v>5269</v>
      </c>
      <c r="B92">
        <v>980</v>
      </c>
      <c r="C92" t="s">
        <v>266</v>
      </c>
      <c r="D92" t="s">
        <v>267</v>
      </c>
      <c r="E92" t="s">
        <v>17</v>
      </c>
      <c r="F92" t="s">
        <v>204</v>
      </c>
      <c r="G92">
        <v>4717095278</v>
      </c>
      <c r="H92" t="str">
        <f>PROPER(Customer[[#This Row],[C_NAME]])</f>
        <v>Steven</v>
      </c>
      <c r="I92" t="str">
        <f>LOWER(Customer[[#This Row],[C_EMAIL_ID]])</f>
        <v>pamala451@outlook.com</v>
      </c>
      <c r="J92" s="1">
        <f>_xlfn.XLOOKUP(B92,Membership!A:A,Membership!B:B)</f>
        <v>37525</v>
      </c>
      <c r="K92" s="1">
        <f>_xlfn.XLOOKUP(B92,Membership!A:A,Membership!C:C)</f>
        <v>42541</v>
      </c>
      <c r="L92">
        <f t="shared" si="2"/>
        <v>13</v>
      </c>
    </row>
    <row r="93" spans="1:12" x14ac:dyDescent="0.25">
      <c r="A93">
        <v>8404</v>
      </c>
      <c r="B93">
        <v>704</v>
      </c>
      <c r="C93" t="s">
        <v>268</v>
      </c>
      <c r="D93" t="s">
        <v>269</v>
      </c>
      <c r="E93" t="s">
        <v>13</v>
      </c>
      <c r="F93" t="s">
        <v>270</v>
      </c>
      <c r="G93">
        <v>6852398753</v>
      </c>
      <c r="H93" t="str">
        <f>PROPER(Customer[[#This Row],[C_NAME]])</f>
        <v>Tammi</v>
      </c>
      <c r="I93" t="str">
        <f>LOWER(Customer[[#This Row],[C_EMAIL_ID]])</f>
        <v>matt620@yahoo.com</v>
      </c>
      <c r="J93" s="1">
        <f>_xlfn.XLOOKUP(B93,Membership!A:A,Membership!B:B)</f>
        <v>41603</v>
      </c>
      <c r="K93" s="1">
        <f>_xlfn.XLOOKUP(B93,Membership!A:A,Membership!C:C)</f>
        <v>47401</v>
      </c>
      <c r="L93">
        <f t="shared" si="2"/>
        <v>15</v>
      </c>
    </row>
    <row r="94" spans="1:12" x14ac:dyDescent="0.25">
      <c r="A94">
        <v>519</v>
      </c>
      <c r="B94">
        <v>598</v>
      </c>
      <c r="C94" t="s">
        <v>271</v>
      </c>
      <c r="D94" t="s">
        <v>272</v>
      </c>
      <c r="E94" t="s">
        <v>17</v>
      </c>
      <c r="F94" t="s">
        <v>273</v>
      </c>
      <c r="G94">
        <v>8198842186</v>
      </c>
      <c r="H94" t="str">
        <f>PROPER(Customer[[#This Row],[C_NAME]])</f>
        <v>Rayburn</v>
      </c>
      <c r="I94" t="str">
        <f>LOWER(Customer[[#This Row],[C_EMAIL_ID]])</f>
        <v>kristie659@hotmail.com</v>
      </c>
      <c r="J94" s="1">
        <f>_xlfn.XLOOKUP(B94,Membership!A:A,Membership!B:B)</f>
        <v>31583</v>
      </c>
      <c r="K94" s="1">
        <f>_xlfn.XLOOKUP(B94,Membership!A:A,Membership!C:C)</f>
        <v>35172</v>
      </c>
      <c r="L94">
        <f t="shared" si="2"/>
        <v>9</v>
      </c>
    </row>
    <row r="95" spans="1:12" x14ac:dyDescent="0.25">
      <c r="A95">
        <v>4060</v>
      </c>
      <c r="B95">
        <v>932</v>
      </c>
      <c r="C95" t="s">
        <v>274</v>
      </c>
      <c r="D95" t="s">
        <v>275</v>
      </c>
      <c r="E95" t="s">
        <v>13</v>
      </c>
      <c r="F95" t="s">
        <v>276</v>
      </c>
      <c r="G95">
        <v>7396097848</v>
      </c>
      <c r="H95" t="str">
        <f>PROPER(Customer[[#This Row],[C_NAME]])</f>
        <v>Gordon</v>
      </c>
      <c r="I95" t="str">
        <f>LOWER(Customer[[#This Row],[C_EMAIL_ID]])</f>
        <v>lee224@ymail.co.in</v>
      </c>
      <c r="J95" s="1">
        <f>_xlfn.XLOOKUP(B95,Membership!A:A,Membership!B:B)</f>
        <v>31145</v>
      </c>
      <c r="K95" s="1">
        <f>_xlfn.XLOOKUP(B95,Membership!A:A,Membership!C:C)</f>
        <v>33985</v>
      </c>
      <c r="L95">
        <f t="shared" si="2"/>
        <v>7</v>
      </c>
    </row>
    <row r="96" spans="1:12" x14ac:dyDescent="0.25">
      <c r="A96">
        <v>8860</v>
      </c>
      <c r="B96">
        <v>834</v>
      </c>
      <c r="C96" t="s">
        <v>277</v>
      </c>
      <c r="D96" t="s">
        <v>278</v>
      </c>
      <c r="E96" t="s">
        <v>17</v>
      </c>
      <c r="F96" t="s">
        <v>279</v>
      </c>
      <c r="G96">
        <v>4508931602</v>
      </c>
      <c r="H96" t="str">
        <f>PROPER(Customer[[#This Row],[C_NAME]])</f>
        <v>Zakariya</v>
      </c>
      <c r="I96" t="str">
        <f>LOWER(Customer[[#This Row],[C_EMAIL_ID]])</f>
        <v>roger478@ymail.co.in</v>
      </c>
      <c r="J96" s="1">
        <f>_xlfn.XLOOKUP(B96,Membership!A:A,Membership!B:B)</f>
        <v>35575</v>
      </c>
      <c r="K96" s="1">
        <f>_xlfn.XLOOKUP(B96,Membership!A:A,Membership!C:C)</f>
        <v>42548</v>
      </c>
      <c r="L96">
        <f t="shared" si="2"/>
        <v>19</v>
      </c>
    </row>
    <row r="97" spans="1:12" x14ac:dyDescent="0.25">
      <c r="A97">
        <v>7164</v>
      </c>
      <c r="B97">
        <v>209</v>
      </c>
      <c r="C97" t="s">
        <v>280</v>
      </c>
      <c r="D97" t="s">
        <v>281</v>
      </c>
      <c r="E97" t="s">
        <v>17</v>
      </c>
      <c r="F97" t="s">
        <v>282</v>
      </c>
      <c r="G97">
        <v>8013342363</v>
      </c>
      <c r="H97" t="str">
        <f>PROPER(Customer[[#This Row],[C_NAME]])</f>
        <v>Otis</v>
      </c>
      <c r="I97" t="str">
        <f>LOWER(Customer[[#This Row],[C_EMAIL_ID]])</f>
        <v>zoya623@gmail.com</v>
      </c>
      <c r="J97" s="1">
        <f>_xlfn.XLOOKUP(B97,Membership!A:A,Membership!B:B)</f>
        <v>29908</v>
      </c>
      <c r="K97" s="1">
        <f>_xlfn.XLOOKUP(B97,Membership!A:A,Membership!C:C)</f>
        <v>34324</v>
      </c>
      <c r="L97">
        <f t="shared" si="2"/>
        <v>12</v>
      </c>
    </row>
    <row r="98" spans="1:12" x14ac:dyDescent="0.25">
      <c r="A98">
        <v>9792</v>
      </c>
      <c r="B98">
        <v>330</v>
      </c>
      <c r="C98" t="s">
        <v>283</v>
      </c>
      <c r="D98" t="s">
        <v>284</v>
      </c>
      <c r="E98" t="s">
        <v>17</v>
      </c>
      <c r="F98" t="s">
        <v>285</v>
      </c>
      <c r="G98">
        <v>4775425957</v>
      </c>
      <c r="H98" t="str">
        <f>PROPER(Customer[[#This Row],[C_NAME]])</f>
        <v>Curtis</v>
      </c>
      <c r="I98" t="str">
        <f>LOWER(Customer[[#This Row],[C_EMAIL_ID]])</f>
        <v>robert627@yahoo.co.in</v>
      </c>
      <c r="J98" s="1">
        <f>_xlfn.XLOOKUP(B98,Membership!A:A,Membership!B:B)</f>
        <v>34590</v>
      </c>
      <c r="K98" s="1">
        <f>_xlfn.XLOOKUP(B98,Membership!A:A,Membership!C:C)</f>
        <v>38534</v>
      </c>
      <c r="L98">
        <f t="shared" ref="L98:L129" si="3">DATEDIF(J98,K98,"Y")</f>
        <v>10</v>
      </c>
    </row>
    <row r="99" spans="1:12" x14ac:dyDescent="0.25">
      <c r="A99">
        <v>9934</v>
      </c>
      <c r="B99">
        <v>138</v>
      </c>
      <c r="C99" t="s">
        <v>222</v>
      </c>
      <c r="D99" t="s">
        <v>286</v>
      </c>
      <c r="E99" t="s">
        <v>17</v>
      </c>
      <c r="F99" t="s">
        <v>287</v>
      </c>
      <c r="G99">
        <v>2535125840</v>
      </c>
      <c r="H99" t="str">
        <f>PROPER(Customer[[#This Row],[C_NAME]])</f>
        <v>Gabrielle</v>
      </c>
      <c r="I99" t="str">
        <f>LOWER(Customer[[#This Row],[C_EMAIL_ID]])</f>
        <v>danny201@yahoo.com</v>
      </c>
      <c r="J99" s="1">
        <f>_xlfn.XLOOKUP(B99,Membership!A:A,Membership!B:B)</f>
        <v>34411</v>
      </c>
      <c r="K99" s="1">
        <f>_xlfn.XLOOKUP(B99,Membership!A:A,Membership!C:C)</f>
        <v>40164</v>
      </c>
      <c r="L99">
        <f t="shared" si="3"/>
        <v>15</v>
      </c>
    </row>
    <row r="100" spans="1:12" x14ac:dyDescent="0.25">
      <c r="A100">
        <v>1980</v>
      </c>
      <c r="B100">
        <v>981</v>
      </c>
      <c r="C100" t="s">
        <v>288</v>
      </c>
      <c r="D100" t="s">
        <v>289</v>
      </c>
      <c r="E100" t="s">
        <v>17</v>
      </c>
      <c r="F100" t="s">
        <v>290</v>
      </c>
      <c r="G100">
        <v>5833657416</v>
      </c>
      <c r="H100" t="str">
        <f>PROPER(Customer[[#This Row],[C_NAME]])</f>
        <v>Dani</v>
      </c>
      <c r="I100" t="str">
        <f>LOWER(Customer[[#This Row],[C_EMAIL_ID]])</f>
        <v>ryker409@gmail.com</v>
      </c>
      <c r="J100" s="1">
        <f>_xlfn.XLOOKUP(B100,Membership!A:A,Membership!B:B)</f>
        <v>28204</v>
      </c>
      <c r="K100" s="1">
        <f>_xlfn.XLOOKUP(B100,Membership!A:A,Membership!C:C)</f>
        <v>34784</v>
      </c>
      <c r="L100">
        <f t="shared" si="3"/>
        <v>18</v>
      </c>
    </row>
    <row r="101" spans="1:12" x14ac:dyDescent="0.25">
      <c r="A101">
        <v>9251</v>
      </c>
      <c r="B101">
        <v>130</v>
      </c>
      <c r="C101" t="s">
        <v>291</v>
      </c>
      <c r="D101" t="s">
        <v>292</v>
      </c>
      <c r="E101" t="s">
        <v>17</v>
      </c>
      <c r="F101" t="s">
        <v>293</v>
      </c>
      <c r="G101">
        <v>5905581451</v>
      </c>
      <c r="H101" t="str">
        <f>PROPER(Customer[[#This Row],[C_NAME]])</f>
        <v>Sadie</v>
      </c>
      <c r="I101" t="str">
        <f>LOWER(Customer[[#This Row],[C_EMAIL_ID]])</f>
        <v>zelda490@yahoo.co.in</v>
      </c>
      <c r="J101" s="1">
        <f>_xlfn.XLOOKUP(B101,Membership!A:A,Membership!B:B)</f>
        <v>38640</v>
      </c>
      <c r="K101" s="1">
        <f>_xlfn.XLOOKUP(B101,Membership!A:A,Membership!C:C)</f>
        <v>40002</v>
      </c>
      <c r="L101">
        <f t="shared" si="3"/>
        <v>3</v>
      </c>
    </row>
    <row r="102" spans="1:12" x14ac:dyDescent="0.25">
      <c r="A102">
        <v>6717</v>
      </c>
      <c r="B102">
        <v>685</v>
      </c>
      <c r="C102" t="s">
        <v>294</v>
      </c>
      <c r="D102" t="s">
        <v>295</v>
      </c>
      <c r="E102" t="s">
        <v>9</v>
      </c>
      <c r="F102" t="s">
        <v>296</v>
      </c>
      <c r="G102">
        <v>3742557097</v>
      </c>
      <c r="H102" t="str">
        <f>PROPER(Customer[[#This Row],[C_NAME]])</f>
        <v>Emma</v>
      </c>
      <c r="I102" t="str">
        <f>LOWER(Customer[[#This Row],[C_EMAIL_ID]])</f>
        <v>david957@ymail.com</v>
      </c>
      <c r="J102" s="1">
        <f>_xlfn.XLOOKUP(B102,Membership!A:A,Membership!B:B)</f>
        <v>27099</v>
      </c>
      <c r="K102" s="1">
        <f>_xlfn.XLOOKUP(B102,Membership!A:A,Membership!C:C)</f>
        <v>30644</v>
      </c>
      <c r="L102">
        <f t="shared" si="3"/>
        <v>9</v>
      </c>
    </row>
    <row r="103" spans="1:12" x14ac:dyDescent="0.25">
      <c r="A103">
        <v>3622</v>
      </c>
      <c r="B103">
        <v>544</v>
      </c>
      <c r="C103" t="s">
        <v>130</v>
      </c>
      <c r="D103" t="s">
        <v>297</v>
      </c>
      <c r="E103" t="s">
        <v>9</v>
      </c>
      <c r="F103" t="s">
        <v>298</v>
      </c>
      <c r="G103">
        <v>1157949513</v>
      </c>
      <c r="H103" t="str">
        <f>PROPER(Customer[[#This Row],[C_NAME]])</f>
        <v>Eddie</v>
      </c>
      <c r="I103" t="str">
        <f>LOWER(Customer[[#This Row],[C_EMAIL_ID]])</f>
        <v>jacquelin945@yahoo.com</v>
      </c>
      <c r="J103" s="1">
        <f>_xlfn.XLOOKUP(B103,Membership!A:A,Membership!B:B)</f>
        <v>43375</v>
      </c>
      <c r="K103" s="1">
        <f>_xlfn.XLOOKUP(B103,Membership!A:A,Membership!C:C)</f>
        <v>50746</v>
      </c>
      <c r="L103">
        <f t="shared" si="3"/>
        <v>20</v>
      </c>
    </row>
    <row r="104" spans="1:12" x14ac:dyDescent="0.25">
      <c r="A104">
        <v>8808</v>
      </c>
      <c r="B104">
        <v>384</v>
      </c>
      <c r="C104" t="s">
        <v>299</v>
      </c>
      <c r="D104" t="s">
        <v>300</v>
      </c>
      <c r="E104" t="s">
        <v>17</v>
      </c>
      <c r="F104" t="s">
        <v>301</v>
      </c>
      <c r="G104">
        <v>6061993877</v>
      </c>
      <c r="H104" t="str">
        <f>PROPER(Customer[[#This Row],[C_NAME]])</f>
        <v>Connie</v>
      </c>
      <c r="I104" t="str">
        <f>LOWER(Customer[[#This Row],[C_EMAIL_ID]])</f>
        <v>ardis505@ymail.com</v>
      </c>
      <c r="J104" s="1">
        <f>_xlfn.XLOOKUP(B104,Membership!A:A,Membership!B:B)</f>
        <v>37462</v>
      </c>
      <c r="K104" s="1">
        <f>_xlfn.XLOOKUP(B104,Membership!A:A,Membership!C:C)</f>
        <v>41946</v>
      </c>
      <c r="L104">
        <f t="shared" si="3"/>
        <v>12</v>
      </c>
    </row>
    <row r="105" spans="1:12" x14ac:dyDescent="0.25">
      <c r="A105">
        <v>4920</v>
      </c>
      <c r="B105">
        <v>467</v>
      </c>
      <c r="C105" t="s">
        <v>302</v>
      </c>
      <c r="D105" t="s">
        <v>303</v>
      </c>
      <c r="E105" t="s">
        <v>17</v>
      </c>
      <c r="F105" t="s">
        <v>304</v>
      </c>
      <c r="G105">
        <v>7395125371</v>
      </c>
      <c r="H105" t="str">
        <f>PROPER(Customer[[#This Row],[C_NAME]])</f>
        <v>Ricky</v>
      </c>
      <c r="I105" t="str">
        <f>LOWER(Customer[[#This Row],[C_EMAIL_ID]])</f>
        <v>scott41@hotmail.com</v>
      </c>
      <c r="J105" s="1">
        <f>_xlfn.XLOOKUP(B105,Membership!A:A,Membership!B:B)</f>
        <v>30178</v>
      </c>
      <c r="K105" s="1">
        <f>_xlfn.XLOOKUP(B105,Membership!A:A,Membership!C:C)</f>
        <v>34084</v>
      </c>
      <c r="L105">
        <f t="shared" si="3"/>
        <v>10</v>
      </c>
    </row>
    <row r="106" spans="1:12" x14ac:dyDescent="0.25">
      <c r="A106">
        <v>3140</v>
      </c>
      <c r="B106">
        <v>112</v>
      </c>
      <c r="C106" t="s">
        <v>305</v>
      </c>
      <c r="D106" t="s">
        <v>306</v>
      </c>
      <c r="E106" t="s">
        <v>13</v>
      </c>
      <c r="F106" t="s">
        <v>307</v>
      </c>
      <c r="G106">
        <v>7624401610</v>
      </c>
      <c r="H106" t="str">
        <f>PROPER(Customer[[#This Row],[C_NAME]])</f>
        <v>Patrick</v>
      </c>
      <c r="I106" t="str">
        <f>LOWER(Customer[[#This Row],[C_EMAIL_ID]])</f>
        <v>alexia131@outlook.com</v>
      </c>
      <c r="J106" s="1">
        <f>_xlfn.XLOOKUP(B106,Membership!A:A,Membership!B:B)</f>
        <v>38334</v>
      </c>
      <c r="K106" s="1">
        <f>_xlfn.XLOOKUP(B106,Membership!A:A,Membership!C:C)</f>
        <v>38932</v>
      </c>
      <c r="L106">
        <f t="shared" si="3"/>
        <v>1</v>
      </c>
    </row>
    <row r="107" spans="1:12" x14ac:dyDescent="0.25">
      <c r="A107">
        <v>8104</v>
      </c>
      <c r="B107">
        <v>906</v>
      </c>
      <c r="C107" t="s">
        <v>308</v>
      </c>
      <c r="D107" t="s">
        <v>309</v>
      </c>
      <c r="E107" t="s">
        <v>13</v>
      </c>
      <c r="F107" t="s">
        <v>310</v>
      </c>
      <c r="G107">
        <v>8271413320</v>
      </c>
      <c r="H107" t="str">
        <f>PROPER(Customer[[#This Row],[C_NAME]])</f>
        <v>Annie</v>
      </c>
      <c r="I107" t="str">
        <f>LOWER(Customer[[#This Row],[C_EMAIL_ID]])</f>
        <v>donnell940@ymail.co.in</v>
      </c>
      <c r="J107" s="1">
        <f>_xlfn.XLOOKUP(B107,Membership!A:A,Membership!B:B)</f>
        <v>41028</v>
      </c>
      <c r="K107" s="1">
        <f>_xlfn.XLOOKUP(B107,Membership!A:A,Membership!C:C)</f>
        <v>44948</v>
      </c>
      <c r="L107">
        <f t="shared" si="3"/>
        <v>10</v>
      </c>
    </row>
    <row r="108" spans="1:12" x14ac:dyDescent="0.25">
      <c r="A108">
        <v>2208</v>
      </c>
      <c r="B108">
        <v>609</v>
      </c>
      <c r="C108" t="s">
        <v>311</v>
      </c>
      <c r="D108" t="s">
        <v>312</v>
      </c>
      <c r="E108" t="s">
        <v>17</v>
      </c>
      <c r="F108" t="s">
        <v>313</v>
      </c>
      <c r="G108">
        <v>6202223720</v>
      </c>
      <c r="H108" t="str">
        <f>PROPER(Customer[[#This Row],[C_NAME]])</f>
        <v>Elvia</v>
      </c>
      <c r="I108" t="str">
        <f>LOWER(Customer[[#This Row],[C_EMAIL_ID]])</f>
        <v>trent560@google.co.in</v>
      </c>
      <c r="J108" s="1">
        <f>_xlfn.XLOOKUP(B108,Membership!A:A,Membership!B:B)</f>
        <v>34249</v>
      </c>
      <c r="K108" s="1">
        <f>_xlfn.XLOOKUP(B108,Membership!A:A,Membership!C:C)</f>
        <v>37326</v>
      </c>
      <c r="L108">
        <f t="shared" si="3"/>
        <v>8</v>
      </c>
    </row>
    <row r="109" spans="1:12" x14ac:dyDescent="0.25">
      <c r="A109">
        <v>7043</v>
      </c>
      <c r="B109">
        <v>379</v>
      </c>
      <c r="C109" t="s">
        <v>314</v>
      </c>
      <c r="D109" t="s">
        <v>315</v>
      </c>
      <c r="E109" t="s">
        <v>17</v>
      </c>
      <c r="F109" t="s">
        <v>316</v>
      </c>
      <c r="G109">
        <v>8194423563</v>
      </c>
      <c r="H109" t="str">
        <f>PROPER(Customer[[#This Row],[C_NAME]])</f>
        <v>Laurette</v>
      </c>
      <c r="I109" t="str">
        <f>LOWER(Customer[[#This Row],[C_EMAIL_ID]])</f>
        <v>gerald85@google.co.in</v>
      </c>
      <c r="J109" s="1">
        <f>_xlfn.XLOOKUP(B109,Membership!A:A,Membership!B:B)</f>
        <v>37813</v>
      </c>
      <c r="K109" s="1">
        <f>_xlfn.XLOOKUP(B109,Membership!A:A,Membership!C:C)</f>
        <v>40733</v>
      </c>
      <c r="L109">
        <f t="shared" si="3"/>
        <v>7</v>
      </c>
    </row>
    <row r="110" spans="1:12" x14ac:dyDescent="0.25">
      <c r="A110">
        <v>7485</v>
      </c>
      <c r="B110">
        <v>357</v>
      </c>
      <c r="C110" t="s">
        <v>317</v>
      </c>
      <c r="D110" t="s">
        <v>318</v>
      </c>
      <c r="E110" t="s">
        <v>17</v>
      </c>
      <c r="F110" t="s">
        <v>319</v>
      </c>
      <c r="G110">
        <v>8529931415</v>
      </c>
      <c r="H110" t="str">
        <f>PROPER(Customer[[#This Row],[C_NAME]])</f>
        <v>Austin</v>
      </c>
      <c r="I110" t="str">
        <f>LOWER(Customer[[#This Row],[C_EMAIL_ID]])</f>
        <v>zakariya835@yahoo.com</v>
      </c>
      <c r="J110" s="1">
        <f>_xlfn.XLOOKUP(B110,Membership!A:A,Membership!B:B)</f>
        <v>29105</v>
      </c>
      <c r="K110" s="1">
        <f>_xlfn.XLOOKUP(B110,Membership!A:A,Membership!C:C)</f>
        <v>30098</v>
      </c>
      <c r="L110">
        <f t="shared" si="3"/>
        <v>2</v>
      </c>
    </row>
    <row r="111" spans="1:12" x14ac:dyDescent="0.25">
      <c r="A111">
        <v>1748</v>
      </c>
      <c r="B111">
        <v>364</v>
      </c>
      <c r="C111" t="s">
        <v>320</v>
      </c>
      <c r="D111" t="s">
        <v>321</v>
      </c>
      <c r="E111" t="s">
        <v>9</v>
      </c>
      <c r="F111" t="s">
        <v>322</v>
      </c>
      <c r="G111">
        <v>4033094166</v>
      </c>
      <c r="H111" t="str">
        <f>PROPER(Customer[[#This Row],[C_NAME]])</f>
        <v>Willie</v>
      </c>
      <c r="I111" t="str">
        <f>LOWER(Customer[[#This Row],[C_EMAIL_ID]])</f>
        <v>artie206@ymail.com</v>
      </c>
      <c r="J111" s="1">
        <f>_xlfn.XLOOKUP(B111,Membership!A:A,Membership!B:B)</f>
        <v>41589</v>
      </c>
      <c r="K111" s="1">
        <f>_xlfn.XLOOKUP(B111,Membership!A:A,Membership!C:C)</f>
        <v>44826</v>
      </c>
      <c r="L111">
        <f t="shared" si="3"/>
        <v>8</v>
      </c>
    </row>
    <row r="112" spans="1:12" x14ac:dyDescent="0.25">
      <c r="A112">
        <v>9968</v>
      </c>
      <c r="B112">
        <v>69</v>
      </c>
      <c r="C112" t="s">
        <v>323</v>
      </c>
      <c r="D112" t="s">
        <v>324</v>
      </c>
      <c r="E112" t="s">
        <v>17</v>
      </c>
      <c r="F112" t="s">
        <v>325</v>
      </c>
      <c r="G112">
        <v>1840361778</v>
      </c>
      <c r="H112" t="str">
        <f>PROPER(Customer[[#This Row],[C_NAME]])</f>
        <v>Diana</v>
      </c>
      <c r="I112" t="str">
        <f>LOWER(Customer[[#This Row],[C_EMAIL_ID]])</f>
        <v>ryan128@yahoo.com</v>
      </c>
      <c r="J112" s="1">
        <f>_xlfn.XLOOKUP(B112,Membership!A:A,Membership!B:B)</f>
        <v>27616</v>
      </c>
      <c r="K112" s="1">
        <f>_xlfn.XLOOKUP(B112,Membership!A:A,Membership!C:C)</f>
        <v>31593</v>
      </c>
      <c r="L112">
        <f t="shared" si="3"/>
        <v>10</v>
      </c>
    </row>
    <row r="113" spans="1:12" x14ac:dyDescent="0.25">
      <c r="A113">
        <v>5330</v>
      </c>
      <c r="B113">
        <v>973</v>
      </c>
      <c r="C113" t="s">
        <v>326</v>
      </c>
      <c r="D113" t="s">
        <v>327</v>
      </c>
      <c r="E113" t="s">
        <v>17</v>
      </c>
      <c r="F113" t="s">
        <v>328</v>
      </c>
      <c r="G113">
        <v>5888927246</v>
      </c>
      <c r="H113" t="str">
        <f>PROPER(Customer[[#This Row],[C_NAME]])</f>
        <v>Amelia</v>
      </c>
      <c r="I113" t="str">
        <f>LOWER(Customer[[#This Row],[C_EMAIL_ID]])</f>
        <v>albertha398@ymail.com</v>
      </c>
      <c r="J113" s="1">
        <f>_xlfn.XLOOKUP(B113,Membership!A:A,Membership!B:B)</f>
        <v>39784</v>
      </c>
      <c r="K113" s="1">
        <f>_xlfn.XLOOKUP(B113,Membership!A:A,Membership!C:C)</f>
        <v>46105</v>
      </c>
      <c r="L113">
        <f t="shared" si="3"/>
        <v>17</v>
      </c>
    </row>
    <row r="114" spans="1:12" x14ac:dyDescent="0.25">
      <c r="A114">
        <v>2183</v>
      </c>
      <c r="B114">
        <v>455</v>
      </c>
      <c r="C114" t="s">
        <v>329</v>
      </c>
      <c r="D114" t="s">
        <v>330</v>
      </c>
      <c r="E114" t="s">
        <v>9</v>
      </c>
      <c r="F114" t="s">
        <v>331</v>
      </c>
      <c r="G114">
        <v>1146373455</v>
      </c>
      <c r="H114" t="str">
        <f>PROPER(Customer[[#This Row],[C_NAME]])</f>
        <v>Dennis</v>
      </c>
      <c r="I114" t="str">
        <f>LOWER(Customer[[#This Row],[C_EMAIL_ID]])</f>
        <v>carolyn538@yahoo.co.in</v>
      </c>
      <c r="J114" s="1">
        <f>_xlfn.XLOOKUP(B114,Membership!A:A,Membership!B:B)</f>
        <v>27310</v>
      </c>
      <c r="K114" s="1">
        <f>_xlfn.XLOOKUP(B114,Membership!A:A,Membership!C:C)</f>
        <v>32333</v>
      </c>
      <c r="L114">
        <f t="shared" si="3"/>
        <v>13</v>
      </c>
    </row>
    <row r="115" spans="1:12" x14ac:dyDescent="0.25">
      <c r="A115">
        <v>2182</v>
      </c>
      <c r="B115">
        <v>247</v>
      </c>
      <c r="C115" t="s">
        <v>332</v>
      </c>
      <c r="D115" t="s">
        <v>333</v>
      </c>
      <c r="E115" t="s">
        <v>17</v>
      </c>
      <c r="F115" t="s">
        <v>334</v>
      </c>
      <c r="G115">
        <v>4951091066</v>
      </c>
      <c r="H115" t="str">
        <f>PROPER(Customer[[#This Row],[C_NAME]])</f>
        <v>Paige</v>
      </c>
      <c r="I115" t="str">
        <f>LOWER(Customer[[#This Row],[C_EMAIL_ID]])</f>
        <v>ilana40@ymail.co.in</v>
      </c>
      <c r="J115" s="1">
        <f>_xlfn.XLOOKUP(B115,Membership!A:A,Membership!B:B)</f>
        <v>25935</v>
      </c>
      <c r="K115" s="1">
        <f>_xlfn.XLOOKUP(B115,Membership!A:A,Membership!C:C)</f>
        <v>30207</v>
      </c>
      <c r="L115">
        <f t="shared" si="3"/>
        <v>11</v>
      </c>
    </row>
    <row r="116" spans="1:12" x14ac:dyDescent="0.25">
      <c r="A116">
        <v>1087</v>
      </c>
      <c r="B116">
        <v>491</v>
      </c>
      <c r="C116" t="s">
        <v>335</v>
      </c>
      <c r="D116" t="s">
        <v>336</v>
      </c>
      <c r="E116" t="s">
        <v>13</v>
      </c>
      <c r="F116" t="s">
        <v>337</v>
      </c>
      <c r="G116">
        <v>3384176833</v>
      </c>
      <c r="H116" t="str">
        <f>PROPER(Customer[[#This Row],[C_NAME]])</f>
        <v>Lydia</v>
      </c>
      <c r="I116" t="str">
        <f>LOWER(Customer[[#This Row],[C_EMAIL_ID]])</f>
        <v>christa254@gmail.com</v>
      </c>
      <c r="J116" s="1">
        <f>_xlfn.XLOOKUP(B116,Membership!A:A,Membership!B:B)</f>
        <v>39557</v>
      </c>
      <c r="K116" s="1">
        <f>_xlfn.XLOOKUP(B116,Membership!A:A,Membership!C:C)</f>
        <v>44427</v>
      </c>
      <c r="L116">
        <f t="shared" si="3"/>
        <v>13</v>
      </c>
    </row>
    <row r="117" spans="1:12" x14ac:dyDescent="0.25">
      <c r="A117">
        <v>4296</v>
      </c>
      <c r="B117">
        <v>826</v>
      </c>
      <c r="C117" t="s">
        <v>338</v>
      </c>
      <c r="D117" t="s">
        <v>339</v>
      </c>
      <c r="E117" t="s">
        <v>9</v>
      </c>
      <c r="F117" t="s">
        <v>340</v>
      </c>
      <c r="G117">
        <v>7174320820</v>
      </c>
      <c r="H117" t="str">
        <f>PROPER(Customer[[#This Row],[C_NAME]])</f>
        <v>Kandace</v>
      </c>
      <c r="I117" t="str">
        <f>LOWER(Customer[[#This Row],[C_EMAIL_ID]])</f>
        <v>bobby84@yahoo.com</v>
      </c>
      <c r="J117" s="1">
        <f>_xlfn.XLOOKUP(B117,Membership!A:A,Membership!B:B)</f>
        <v>41487</v>
      </c>
      <c r="K117" s="1">
        <f>_xlfn.XLOOKUP(B117,Membership!A:A,Membership!C:C)</f>
        <v>45451</v>
      </c>
      <c r="L117">
        <f t="shared" si="3"/>
        <v>10</v>
      </c>
    </row>
    <row r="118" spans="1:12" x14ac:dyDescent="0.25">
      <c r="A118">
        <v>9784</v>
      </c>
      <c r="B118">
        <v>400</v>
      </c>
      <c r="C118" t="s">
        <v>341</v>
      </c>
      <c r="D118" t="s">
        <v>342</v>
      </c>
      <c r="E118" t="s">
        <v>9</v>
      </c>
      <c r="F118" t="s">
        <v>343</v>
      </c>
      <c r="G118">
        <v>2668150446</v>
      </c>
      <c r="H118" t="str">
        <f>PROPER(Customer[[#This Row],[C_NAME]])</f>
        <v>Tianna</v>
      </c>
      <c r="I118" t="str">
        <f>LOWER(Customer[[#This Row],[C_EMAIL_ID]])</f>
        <v>laurence971@yahoo.co.in</v>
      </c>
      <c r="J118" s="1">
        <f>_xlfn.XLOOKUP(B118,Membership!A:A,Membership!B:B)</f>
        <v>38732</v>
      </c>
      <c r="K118" s="1">
        <f>_xlfn.XLOOKUP(B118,Membership!A:A,Membership!C:C)</f>
        <v>43894</v>
      </c>
      <c r="L118">
        <f t="shared" si="3"/>
        <v>14</v>
      </c>
    </row>
    <row r="119" spans="1:12" x14ac:dyDescent="0.25">
      <c r="A119">
        <v>6210</v>
      </c>
      <c r="B119">
        <v>271</v>
      </c>
      <c r="C119" t="s">
        <v>344</v>
      </c>
      <c r="D119" t="s">
        <v>345</v>
      </c>
      <c r="E119" t="s">
        <v>17</v>
      </c>
      <c r="F119" t="s">
        <v>346</v>
      </c>
      <c r="G119">
        <v>5992525888</v>
      </c>
      <c r="H119" t="str">
        <f>PROPER(Customer[[#This Row],[C_NAME]])</f>
        <v>Roxanne</v>
      </c>
      <c r="I119" t="str">
        <f>LOWER(Customer[[#This Row],[C_EMAIL_ID]])</f>
        <v>trevon752@yahoo.co.in</v>
      </c>
      <c r="J119" s="1">
        <f>_xlfn.XLOOKUP(B119,Membership!A:A,Membership!B:B)</f>
        <v>40353</v>
      </c>
      <c r="K119" s="1">
        <f>_xlfn.XLOOKUP(B119,Membership!A:A,Membership!C:C)</f>
        <v>47425</v>
      </c>
      <c r="L119">
        <f t="shared" si="3"/>
        <v>19</v>
      </c>
    </row>
    <row r="120" spans="1:12" x14ac:dyDescent="0.25">
      <c r="A120">
        <v>5781</v>
      </c>
      <c r="B120">
        <v>110</v>
      </c>
      <c r="C120" t="s">
        <v>347</v>
      </c>
      <c r="D120" t="s">
        <v>348</v>
      </c>
      <c r="E120" t="s">
        <v>17</v>
      </c>
      <c r="F120" t="s">
        <v>349</v>
      </c>
      <c r="G120">
        <v>5391751398</v>
      </c>
      <c r="H120" t="str">
        <f>PROPER(Customer[[#This Row],[C_NAME]])</f>
        <v>Hellen</v>
      </c>
      <c r="I120" t="str">
        <f>LOWER(Customer[[#This Row],[C_EMAIL_ID]])</f>
        <v>jason341@yahoo.com</v>
      </c>
      <c r="J120" s="1">
        <f>_xlfn.XLOOKUP(B120,Membership!A:A,Membership!B:B)</f>
        <v>41589</v>
      </c>
      <c r="K120" s="1">
        <f>_xlfn.XLOOKUP(B120,Membership!A:A,Membership!C:C)</f>
        <v>44773</v>
      </c>
      <c r="L120">
        <f t="shared" si="3"/>
        <v>8</v>
      </c>
    </row>
    <row r="121" spans="1:12" x14ac:dyDescent="0.25">
      <c r="A121">
        <v>8306</v>
      </c>
      <c r="B121">
        <v>277</v>
      </c>
      <c r="C121" t="s">
        <v>350</v>
      </c>
      <c r="D121" t="s">
        <v>351</v>
      </c>
      <c r="E121" t="s">
        <v>17</v>
      </c>
      <c r="F121" t="s">
        <v>352</v>
      </c>
      <c r="G121">
        <v>4305011101</v>
      </c>
      <c r="H121" t="str">
        <f>PROPER(Customer[[#This Row],[C_NAME]])</f>
        <v>Zoie</v>
      </c>
      <c r="I121" t="str">
        <f>LOWER(Customer[[#This Row],[C_EMAIL_ID]])</f>
        <v>ramona899@yahoo.com</v>
      </c>
      <c r="J121" s="1">
        <f>_xlfn.XLOOKUP(B121,Membership!A:A,Membership!B:B)</f>
        <v>40312</v>
      </c>
      <c r="K121" s="1">
        <f>_xlfn.XLOOKUP(B121,Membership!A:A,Membership!C:C)</f>
        <v>42939</v>
      </c>
      <c r="L121">
        <f t="shared" si="3"/>
        <v>7</v>
      </c>
    </row>
    <row r="122" spans="1:12" x14ac:dyDescent="0.25">
      <c r="A122">
        <v>3270</v>
      </c>
      <c r="B122">
        <v>85</v>
      </c>
      <c r="C122" t="s">
        <v>353</v>
      </c>
      <c r="D122" t="s">
        <v>354</v>
      </c>
      <c r="E122" t="s">
        <v>17</v>
      </c>
      <c r="F122" t="s">
        <v>355</v>
      </c>
      <c r="G122">
        <v>3253132607</v>
      </c>
      <c r="H122" t="str">
        <f>PROPER(Customer[[#This Row],[C_NAME]])</f>
        <v>George</v>
      </c>
      <c r="I122" t="str">
        <f>LOWER(Customer[[#This Row],[C_EMAIL_ID]])</f>
        <v>harvey871@ymail.co.in</v>
      </c>
      <c r="J122" s="1">
        <f>_xlfn.XLOOKUP(B122,Membership!A:A,Membership!B:B)</f>
        <v>36058</v>
      </c>
      <c r="K122" s="1">
        <f>_xlfn.XLOOKUP(B122,Membership!A:A,Membership!C:C)</f>
        <v>43402</v>
      </c>
      <c r="L122">
        <f t="shared" si="3"/>
        <v>20</v>
      </c>
    </row>
    <row r="123" spans="1:12" x14ac:dyDescent="0.25">
      <c r="A123">
        <v>6787</v>
      </c>
      <c r="B123">
        <v>863</v>
      </c>
      <c r="C123" t="s">
        <v>356</v>
      </c>
      <c r="D123" t="s">
        <v>357</v>
      </c>
      <c r="E123" t="s">
        <v>13</v>
      </c>
      <c r="F123" t="s">
        <v>358</v>
      </c>
      <c r="G123">
        <v>3282200761</v>
      </c>
      <c r="H123" t="str">
        <f>PROPER(Customer[[#This Row],[C_NAME]])</f>
        <v>Genesis</v>
      </c>
      <c r="I123" t="str">
        <f>LOWER(Customer[[#This Row],[C_EMAIL_ID]])</f>
        <v>ericka392@hotmail.com</v>
      </c>
      <c r="J123" s="1">
        <f>_xlfn.XLOOKUP(B123,Membership!A:A,Membership!B:B)</f>
        <v>36850</v>
      </c>
      <c r="K123" s="1">
        <f>_xlfn.XLOOKUP(B123,Membership!A:A,Membership!C:C)</f>
        <v>39795</v>
      </c>
      <c r="L123">
        <f t="shared" si="3"/>
        <v>8</v>
      </c>
    </row>
    <row r="124" spans="1:12" x14ac:dyDescent="0.25">
      <c r="A124">
        <v>3733</v>
      </c>
      <c r="B124">
        <v>731</v>
      </c>
      <c r="C124" t="s">
        <v>359</v>
      </c>
      <c r="D124" t="s">
        <v>360</v>
      </c>
      <c r="E124" t="s">
        <v>9</v>
      </c>
      <c r="F124" t="s">
        <v>361</v>
      </c>
      <c r="G124">
        <v>8831717023</v>
      </c>
      <c r="H124" t="str">
        <f>PROPER(Customer[[#This Row],[C_NAME]])</f>
        <v>Reymundo</v>
      </c>
      <c r="I124" t="str">
        <f>LOWER(Customer[[#This Row],[C_EMAIL_ID]])</f>
        <v>scott810@ymail.co.in</v>
      </c>
      <c r="J124" s="1">
        <f>_xlfn.XLOOKUP(B124,Membership!A:A,Membership!B:B)</f>
        <v>29331</v>
      </c>
      <c r="K124" s="1">
        <f>_xlfn.XLOOKUP(B124,Membership!A:A,Membership!C:C)</f>
        <v>31520</v>
      </c>
      <c r="L124">
        <f t="shared" si="3"/>
        <v>5</v>
      </c>
    </row>
    <row r="125" spans="1:12" x14ac:dyDescent="0.25">
      <c r="A125">
        <v>207</v>
      </c>
      <c r="B125">
        <v>638</v>
      </c>
      <c r="C125" t="s">
        <v>362</v>
      </c>
      <c r="D125" t="s">
        <v>363</v>
      </c>
      <c r="E125" t="s">
        <v>17</v>
      </c>
      <c r="F125" t="s">
        <v>364</v>
      </c>
      <c r="G125">
        <v>6274955877</v>
      </c>
      <c r="H125" t="str">
        <f>PROPER(Customer[[#This Row],[C_NAME]])</f>
        <v>Boyd</v>
      </c>
      <c r="I125" t="str">
        <f>LOWER(Customer[[#This Row],[C_EMAIL_ID]])</f>
        <v>shirley751@gmail.com</v>
      </c>
      <c r="J125" s="1">
        <f>_xlfn.XLOOKUP(B125,Membership!A:A,Membership!B:B)</f>
        <v>42876</v>
      </c>
      <c r="K125" s="1">
        <f>_xlfn.XLOOKUP(B125,Membership!A:A,Membership!C:C)</f>
        <v>45275</v>
      </c>
      <c r="L125">
        <f t="shared" si="3"/>
        <v>6</v>
      </c>
    </row>
    <row r="126" spans="1:12" x14ac:dyDescent="0.25">
      <c r="A126">
        <v>3</v>
      </c>
      <c r="B126">
        <v>275</v>
      </c>
      <c r="C126" t="s">
        <v>365</v>
      </c>
      <c r="D126" t="s">
        <v>366</v>
      </c>
      <c r="E126" t="s">
        <v>9</v>
      </c>
      <c r="F126" t="s">
        <v>367</v>
      </c>
      <c r="G126">
        <v>9875661422</v>
      </c>
      <c r="H126" t="str">
        <f>PROPER(Customer[[#This Row],[C_NAME]])</f>
        <v>Janelle</v>
      </c>
      <c r="I126" t="str">
        <f>LOWER(Customer[[#This Row],[C_EMAIL_ID]])</f>
        <v>nevaeh593@outlook.com</v>
      </c>
      <c r="J126" s="1">
        <f>_xlfn.XLOOKUP(B126,Membership!A:A,Membership!B:B)</f>
        <v>34426</v>
      </c>
      <c r="K126" s="1">
        <f>_xlfn.XLOOKUP(B126,Membership!A:A,Membership!C:C)</f>
        <v>38002</v>
      </c>
      <c r="L126">
        <f t="shared" si="3"/>
        <v>9</v>
      </c>
    </row>
    <row r="127" spans="1:12" x14ac:dyDescent="0.25">
      <c r="A127">
        <v>1896</v>
      </c>
      <c r="B127">
        <v>278</v>
      </c>
      <c r="C127" t="s">
        <v>368</v>
      </c>
      <c r="D127" t="s">
        <v>369</v>
      </c>
      <c r="E127" t="s">
        <v>17</v>
      </c>
      <c r="F127" t="s">
        <v>370</v>
      </c>
      <c r="G127">
        <v>9976580262</v>
      </c>
      <c r="H127" t="str">
        <f>PROPER(Customer[[#This Row],[C_NAME]])</f>
        <v>Bryn</v>
      </c>
      <c r="I127" t="str">
        <f>LOWER(Customer[[#This Row],[C_EMAIL_ID]])</f>
        <v>rayburn250@yahoo.co.in</v>
      </c>
      <c r="J127" s="1">
        <f>_xlfn.XLOOKUP(B127,Membership!A:A,Membership!B:B)</f>
        <v>28397</v>
      </c>
      <c r="K127" s="1">
        <f>_xlfn.XLOOKUP(B127,Membership!A:A,Membership!C:C)</f>
        <v>31787</v>
      </c>
      <c r="L127">
        <f t="shared" si="3"/>
        <v>9</v>
      </c>
    </row>
    <row r="128" spans="1:12" x14ac:dyDescent="0.25">
      <c r="A128">
        <v>9631</v>
      </c>
      <c r="B128">
        <v>948</v>
      </c>
      <c r="C128" t="s">
        <v>371</v>
      </c>
      <c r="D128" t="s">
        <v>372</v>
      </c>
      <c r="E128" t="s">
        <v>17</v>
      </c>
      <c r="F128" t="s">
        <v>373</v>
      </c>
      <c r="G128">
        <v>7191264003</v>
      </c>
      <c r="H128" t="str">
        <f>PROPER(Customer[[#This Row],[C_NAME]])</f>
        <v>Eriana</v>
      </c>
      <c r="I128" t="str">
        <f>LOWER(Customer[[#This Row],[C_EMAIL_ID]])</f>
        <v>rayburn258@gmail.com</v>
      </c>
      <c r="J128" s="1">
        <f>_xlfn.XLOOKUP(B128,Membership!A:A,Membership!B:B)</f>
        <v>40565</v>
      </c>
      <c r="K128" s="1">
        <f>_xlfn.XLOOKUP(B128,Membership!A:A,Membership!C:C)</f>
        <v>42654</v>
      </c>
      <c r="L128">
        <f t="shared" si="3"/>
        <v>5</v>
      </c>
    </row>
    <row r="129" spans="1:12" x14ac:dyDescent="0.25">
      <c r="A129">
        <v>3132</v>
      </c>
      <c r="B129">
        <v>912</v>
      </c>
      <c r="C129" t="s">
        <v>374</v>
      </c>
      <c r="D129" t="s">
        <v>375</v>
      </c>
      <c r="E129" t="s">
        <v>17</v>
      </c>
      <c r="F129" t="s">
        <v>376</v>
      </c>
      <c r="G129">
        <v>3477191930</v>
      </c>
      <c r="H129" t="str">
        <f>PROPER(Customer[[#This Row],[C_NAME]])</f>
        <v>Bayley</v>
      </c>
      <c r="I129" t="str">
        <f>LOWER(Customer[[#This Row],[C_EMAIL_ID]])</f>
        <v>sharyn974@ymail.co.in</v>
      </c>
      <c r="J129" s="1">
        <f>_xlfn.XLOOKUP(B129,Membership!A:A,Membership!B:B)</f>
        <v>28370</v>
      </c>
      <c r="K129" s="1">
        <f>_xlfn.XLOOKUP(B129,Membership!A:A,Membership!C:C)</f>
        <v>28932</v>
      </c>
      <c r="L129">
        <f t="shared" si="3"/>
        <v>1</v>
      </c>
    </row>
    <row r="130" spans="1:12" x14ac:dyDescent="0.25">
      <c r="A130">
        <v>1202</v>
      </c>
      <c r="B130">
        <v>426</v>
      </c>
      <c r="C130" t="s">
        <v>377</v>
      </c>
      <c r="D130" t="s">
        <v>378</v>
      </c>
      <c r="E130" t="s">
        <v>9</v>
      </c>
      <c r="F130" t="s">
        <v>379</v>
      </c>
      <c r="G130">
        <v>4935174932</v>
      </c>
      <c r="H130" t="str">
        <f>PROPER(Customer[[#This Row],[C_NAME]])</f>
        <v>Chasity</v>
      </c>
      <c r="I130" t="str">
        <f>LOWER(Customer[[#This Row],[C_EMAIL_ID]])</f>
        <v>leslie740@ymail.co.in</v>
      </c>
      <c r="J130" s="1">
        <f>_xlfn.XLOOKUP(B130,Membership!A:A,Membership!B:B)</f>
        <v>39390</v>
      </c>
      <c r="K130" s="1">
        <f>_xlfn.XLOOKUP(B130,Membership!A:A,Membership!C:C)</f>
        <v>45663</v>
      </c>
      <c r="L130">
        <f t="shared" ref="L130:L161" si="4">DATEDIF(J130,K130,"Y")</f>
        <v>17</v>
      </c>
    </row>
    <row r="131" spans="1:12" x14ac:dyDescent="0.25">
      <c r="A131">
        <v>8834</v>
      </c>
      <c r="B131">
        <v>735</v>
      </c>
      <c r="C131" t="s">
        <v>145</v>
      </c>
      <c r="D131" t="s">
        <v>380</v>
      </c>
      <c r="E131" t="s">
        <v>9</v>
      </c>
      <c r="F131" t="s">
        <v>381</v>
      </c>
      <c r="G131">
        <v>6582738747</v>
      </c>
      <c r="H131" t="str">
        <f>PROPER(Customer[[#This Row],[C_NAME]])</f>
        <v>Dejon</v>
      </c>
      <c r="I131" t="str">
        <f>LOWER(Customer[[#This Row],[C_EMAIL_ID]])</f>
        <v>ericka359@ymail.com</v>
      </c>
      <c r="J131" s="1">
        <f>_xlfn.XLOOKUP(B131,Membership!A:A,Membership!B:B)</f>
        <v>32245</v>
      </c>
      <c r="K131" s="1">
        <f>_xlfn.XLOOKUP(B131,Membership!A:A,Membership!C:C)</f>
        <v>37459</v>
      </c>
      <c r="L131">
        <f t="shared" si="4"/>
        <v>14</v>
      </c>
    </row>
    <row r="132" spans="1:12" x14ac:dyDescent="0.25">
      <c r="A132">
        <v>1201</v>
      </c>
      <c r="B132">
        <v>666</v>
      </c>
      <c r="C132" t="s">
        <v>382</v>
      </c>
      <c r="D132" t="s">
        <v>383</v>
      </c>
      <c r="E132" t="s">
        <v>9</v>
      </c>
      <c r="F132" t="s">
        <v>384</v>
      </c>
      <c r="G132">
        <v>7050577792</v>
      </c>
      <c r="H132" t="str">
        <f>PROPER(Customer[[#This Row],[C_NAME]])</f>
        <v>Sydney</v>
      </c>
      <c r="I132" t="str">
        <f>LOWER(Customer[[#This Row],[C_EMAIL_ID]])</f>
        <v>curtis682@hotmail.com</v>
      </c>
      <c r="J132" s="1">
        <f>_xlfn.XLOOKUP(B132,Membership!A:A,Membership!B:B)</f>
        <v>32166</v>
      </c>
      <c r="K132" s="1">
        <f>_xlfn.XLOOKUP(B132,Membership!A:A,Membership!C:C)</f>
        <v>39254</v>
      </c>
      <c r="L132">
        <f t="shared" si="4"/>
        <v>19</v>
      </c>
    </row>
    <row r="133" spans="1:12" x14ac:dyDescent="0.25">
      <c r="A133">
        <v>2573</v>
      </c>
      <c r="B133">
        <v>888</v>
      </c>
      <c r="C133" t="s">
        <v>385</v>
      </c>
      <c r="D133" t="s">
        <v>386</v>
      </c>
      <c r="E133" t="s">
        <v>9</v>
      </c>
      <c r="F133" t="s">
        <v>387</v>
      </c>
      <c r="G133">
        <v>8241842420</v>
      </c>
      <c r="H133" t="str">
        <f>PROPER(Customer[[#This Row],[C_NAME]])</f>
        <v>Bernadine</v>
      </c>
      <c r="I133" t="str">
        <f>LOWER(Customer[[#This Row],[C_EMAIL_ID]])</f>
        <v>alessia799@hotmail.com</v>
      </c>
      <c r="J133" s="1">
        <f>_xlfn.XLOOKUP(B133,Membership!A:A,Membership!B:B)</f>
        <v>39669</v>
      </c>
      <c r="K133" s="1">
        <f>_xlfn.XLOOKUP(B133,Membership!A:A,Membership!C:C)</f>
        <v>40341</v>
      </c>
      <c r="L133">
        <f t="shared" si="4"/>
        <v>1</v>
      </c>
    </row>
    <row r="134" spans="1:12" x14ac:dyDescent="0.25">
      <c r="A134">
        <v>6759</v>
      </c>
      <c r="B134">
        <v>310</v>
      </c>
      <c r="C134" t="s">
        <v>388</v>
      </c>
      <c r="D134" t="s">
        <v>389</v>
      </c>
      <c r="E134" t="s">
        <v>9</v>
      </c>
      <c r="F134" t="s">
        <v>390</v>
      </c>
      <c r="G134">
        <v>2604037592</v>
      </c>
      <c r="H134" t="str">
        <f>PROPER(Customer[[#This Row],[C_NAME]])</f>
        <v>Julianna</v>
      </c>
      <c r="I134" t="str">
        <f>LOWER(Customer[[#This Row],[C_EMAIL_ID]])</f>
        <v>bridgett374@yahoo.com</v>
      </c>
      <c r="J134" s="1">
        <f>_xlfn.XLOOKUP(B134,Membership!A:A,Membership!B:B)</f>
        <v>26413</v>
      </c>
      <c r="K134" s="1">
        <f>_xlfn.XLOOKUP(B134,Membership!A:A,Membership!C:C)</f>
        <v>30022</v>
      </c>
      <c r="L134">
        <f t="shared" si="4"/>
        <v>9</v>
      </c>
    </row>
    <row r="135" spans="1:12" x14ac:dyDescent="0.25">
      <c r="A135">
        <v>2601</v>
      </c>
      <c r="B135">
        <v>43</v>
      </c>
      <c r="C135" t="s">
        <v>391</v>
      </c>
      <c r="D135" t="s">
        <v>392</v>
      </c>
      <c r="E135" t="s">
        <v>13</v>
      </c>
      <c r="F135" t="s">
        <v>393</v>
      </c>
      <c r="G135">
        <v>9380507727</v>
      </c>
      <c r="H135" t="str">
        <f>PROPER(Customer[[#This Row],[C_NAME]])</f>
        <v>Gwendolyn</v>
      </c>
      <c r="I135" t="str">
        <f>LOWER(Customer[[#This Row],[C_EMAIL_ID]])</f>
        <v>kelly848@hotmail.com</v>
      </c>
      <c r="J135" s="1">
        <f>_xlfn.XLOOKUP(B135,Membership!A:A,Membership!B:B)</f>
        <v>30200</v>
      </c>
      <c r="K135" s="1">
        <f>_xlfn.XLOOKUP(B135,Membership!A:A,Membership!C:C)</f>
        <v>34861</v>
      </c>
      <c r="L135">
        <f t="shared" si="4"/>
        <v>12</v>
      </c>
    </row>
    <row r="136" spans="1:12" x14ac:dyDescent="0.25">
      <c r="A136">
        <v>2656</v>
      </c>
      <c r="B136">
        <v>722</v>
      </c>
      <c r="C136" t="s">
        <v>133</v>
      </c>
      <c r="D136" t="s">
        <v>394</v>
      </c>
      <c r="E136" t="s">
        <v>13</v>
      </c>
      <c r="F136" t="s">
        <v>395</v>
      </c>
      <c r="G136">
        <v>4722321429</v>
      </c>
      <c r="H136" t="str">
        <f>PROPER(Customer[[#This Row],[C_NAME]])</f>
        <v>Maurice</v>
      </c>
      <c r="I136" t="str">
        <f>LOWER(Customer[[#This Row],[C_EMAIL_ID]])</f>
        <v>francis214@hotmail.com</v>
      </c>
      <c r="J136" s="1">
        <f>_xlfn.XLOOKUP(B136,Membership!A:A,Membership!B:B)</f>
        <v>30033</v>
      </c>
      <c r="K136" s="1">
        <f>_xlfn.XLOOKUP(B136,Membership!A:A,Membership!C:C)</f>
        <v>35533</v>
      </c>
      <c r="L136">
        <f t="shared" si="4"/>
        <v>15</v>
      </c>
    </row>
    <row r="137" spans="1:12" x14ac:dyDescent="0.25">
      <c r="A137">
        <v>9645</v>
      </c>
      <c r="B137">
        <v>233</v>
      </c>
      <c r="C137" t="s">
        <v>142</v>
      </c>
      <c r="D137" t="s">
        <v>396</v>
      </c>
      <c r="E137" t="s">
        <v>13</v>
      </c>
      <c r="F137" t="s">
        <v>287</v>
      </c>
      <c r="G137">
        <v>9598036922</v>
      </c>
      <c r="H137" t="str">
        <f>PROPER(Customer[[#This Row],[C_NAME]])</f>
        <v>Muriel</v>
      </c>
      <c r="I137" t="str">
        <f>LOWER(Customer[[#This Row],[C_EMAIL_ID]])</f>
        <v>stephania835@gmail.com</v>
      </c>
      <c r="J137" s="1">
        <f>_xlfn.XLOOKUP(B137,Membership!A:A,Membership!B:B)</f>
        <v>36315</v>
      </c>
      <c r="K137" s="1">
        <f>_xlfn.XLOOKUP(B137,Membership!A:A,Membership!C:C)</f>
        <v>42362</v>
      </c>
      <c r="L137">
        <f t="shared" si="4"/>
        <v>16</v>
      </c>
    </row>
    <row r="138" spans="1:12" x14ac:dyDescent="0.25">
      <c r="A138">
        <v>584</v>
      </c>
      <c r="B138">
        <v>392</v>
      </c>
      <c r="C138" t="s">
        <v>237</v>
      </c>
      <c r="D138" t="s">
        <v>397</v>
      </c>
      <c r="E138" t="s">
        <v>13</v>
      </c>
      <c r="F138" t="s">
        <v>398</v>
      </c>
      <c r="G138">
        <v>2677043411</v>
      </c>
      <c r="H138" t="str">
        <f>PROPER(Customer[[#This Row],[C_NAME]])</f>
        <v>Marie</v>
      </c>
      <c r="I138" t="str">
        <f>LOWER(Customer[[#This Row],[C_EMAIL_ID]])</f>
        <v>zella692@yahoo.co.in</v>
      </c>
      <c r="J138" s="1">
        <f>_xlfn.XLOOKUP(B138,Membership!A:A,Membership!B:B)</f>
        <v>28109</v>
      </c>
      <c r="K138" s="1">
        <f>_xlfn.XLOOKUP(B138,Membership!A:A,Membership!C:C)</f>
        <v>28839</v>
      </c>
      <c r="L138">
        <f t="shared" si="4"/>
        <v>2</v>
      </c>
    </row>
    <row r="139" spans="1:12" x14ac:dyDescent="0.25">
      <c r="A139">
        <v>2121</v>
      </c>
      <c r="B139">
        <v>527</v>
      </c>
      <c r="C139" t="s">
        <v>399</v>
      </c>
      <c r="D139" t="s">
        <v>400</v>
      </c>
      <c r="E139" t="s">
        <v>13</v>
      </c>
      <c r="F139" t="s">
        <v>401</v>
      </c>
      <c r="G139">
        <v>4336869761</v>
      </c>
      <c r="H139" t="str">
        <f>PROPER(Customer[[#This Row],[C_NAME]])</f>
        <v>Holli</v>
      </c>
      <c r="I139" t="str">
        <f>LOWER(Customer[[#This Row],[C_EMAIL_ID]])</f>
        <v>tiffany386@ymail.com</v>
      </c>
      <c r="J139" s="1">
        <f>_xlfn.XLOOKUP(B139,Membership!A:A,Membership!B:B)</f>
        <v>26995</v>
      </c>
      <c r="K139" s="1">
        <f>_xlfn.XLOOKUP(B139,Membership!A:A,Membership!C:C)</f>
        <v>29875</v>
      </c>
      <c r="L139">
        <f t="shared" si="4"/>
        <v>7</v>
      </c>
    </row>
    <row r="140" spans="1:12" x14ac:dyDescent="0.25">
      <c r="A140">
        <v>2142</v>
      </c>
      <c r="B140">
        <v>767</v>
      </c>
      <c r="C140" t="s">
        <v>37</v>
      </c>
      <c r="D140" t="s">
        <v>402</v>
      </c>
      <c r="E140" t="s">
        <v>9</v>
      </c>
      <c r="F140" t="s">
        <v>403</v>
      </c>
      <c r="G140">
        <v>3463358376</v>
      </c>
      <c r="H140" t="str">
        <f>PROPER(Customer[[#This Row],[C_NAME]])</f>
        <v>Rory</v>
      </c>
      <c r="I140" t="str">
        <f>LOWER(Customer[[#This Row],[C_EMAIL_ID]])</f>
        <v>bernard448@google.co.in</v>
      </c>
      <c r="J140" s="1">
        <f>_xlfn.XLOOKUP(B140,Membership!A:A,Membership!B:B)</f>
        <v>26914</v>
      </c>
      <c r="K140" s="1">
        <f>_xlfn.XLOOKUP(B140,Membership!A:A,Membership!C:C)</f>
        <v>28047</v>
      </c>
      <c r="L140">
        <f t="shared" si="4"/>
        <v>3</v>
      </c>
    </row>
    <row r="141" spans="1:12" x14ac:dyDescent="0.25">
      <c r="A141">
        <v>2396</v>
      </c>
      <c r="B141">
        <v>650</v>
      </c>
      <c r="C141" t="s">
        <v>404</v>
      </c>
      <c r="D141" t="s">
        <v>405</v>
      </c>
      <c r="E141" t="s">
        <v>17</v>
      </c>
      <c r="F141" t="s">
        <v>406</v>
      </c>
      <c r="G141">
        <v>6083580617</v>
      </c>
      <c r="H141" t="str">
        <f>PROPER(Customer[[#This Row],[C_NAME]])</f>
        <v>Miley</v>
      </c>
      <c r="I141" t="str">
        <f>LOWER(Customer[[#This Row],[C_EMAIL_ID]])</f>
        <v>parth128@gmail.com</v>
      </c>
      <c r="J141" s="1">
        <f>_xlfn.XLOOKUP(B141,Membership!A:A,Membership!B:B)</f>
        <v>30958</v>
      </c>
      <c r="K141" s="1">
        <f>_xlfn.XLOOKUP(B141,Membership!A:A,Membership!C:C)</f>
        <v>33313</v>
      </c>
      <c r="L141">
        <f t="shared" si="4"/>
        <v>6</v>
      </c>
    </row>
    <row r="142" spans="1:12" x14ac:dyDescent="0.25">
      <c r="A142">
        <v>8747</v>
      </c>
      <c r="B142">
        <v>908</v>
      </c>
      <c r="C142" t="s">
        <v>407</v>
      </c>
      <c r="D142" t="s">
        <v>408</v>
      </c>
      <c r="E142" t="s">
        <v>17</v>
      </c>
      <c r="F142" t="s">
        <v>409</v>
      </c>
      <c r="G142">
        <v>3087180828</v>
      </c>
      <c r="H142" t="str">
        <f>PROPER(Customer[[#This Row],[C_NAME]])</f>
        <v>Trey</v>
      </c>
      <c r="I142" t="str">
        <f>LOWER(Customer[[#This Row],[C_EMAIL_ID]])</f>
        <v>arlene95@ymail.co.in</v>
      </c>
      <c r="J142" s="1">
        <f>_xlfn.XLOOKUP(B142,Membership!A:A,Membership!B:B)</f>
        <v>38732</v>
      </c>
      <c r="K142" s="1">
        <f>_xlfn.XLOOKUP(B142,Membership!A:A,Membership!C:C)</f>
        <v>45501</v>
      </c>
      <c r="L142">
        <f t="shared" si="4"/>
        <v>18</v>
      </c>
    </row>
    <row r="143" spans="1:12" x14ac:dyDescent="0.25">
      <c r="A143">
        <v>4142</v>
      </c>
      <c r="B143">
        <v>955</v>
      </c>
      <c r="C143" t="s">
        <v>410</v>
      </c>
      <c r="D143" t="s">
        <v>411</v>
      </c>
      <c r="E143" t="s">
        <v>17</v>
      </c>
      <c r="F143" t="s">
        <v>412</v>
      </c>
      <c r="G143">
        <v>1771412315</v>
      </c>
      <c r="H143" t="str">
        <f>PROPER(Customer[[#This Row],[C_NAME]])</f>
        <v>Debora</v>
      </c>
      <c r="I143" t="str">
        <f>LOWER(Customer[[#This Row],[C_EMAIL_ID]])</f>
        <v>ronnie261@ymail.co.in</v>
      </c>
      <c r="J143" s="1">
        <f>_xlfn.XLOOKUP(B143,Membership!A:A,Membership!B:B)</f>
        <v>28397</v>
      </c>
      <c r="K143" s="1">
        <f>_xlfn.XLOOKUP(B143,Membership!A:A,Membership!C:C)</f>
        <v>33803</v>
      </c>
      <c r="L143">
        <f t="shared" si="4"/>
        <v>14</v>
      </c>
    </row>
    <row r="144" spans="1:12" x14ac:dyDescent="0.25">
      <c r="A144">
        <v>9770</v>
      </c>
      <c r="B144">
        <v>106</v>
      </c>
      <c r="C144" t="s">
        <v>413</v>
      </c>
      <c r="D144" t="s">
        <v>414</v>
      </c>
      <c r="E144" t="s">
        <v>13</v>
      </c>
      <c r="F144" t="s">
        <v>415</v>
      </c>
      <c r="G144">
        <v>7962531995</v>
      </c>
      <c r="H144" t="str">
        <f>PROPER(Customer[[#This Row],[C_NAME]])</f>
        <v>Sonja</v>
      </c>
      <c r="I144" t="str">
        <f>LOWER(Customer[[#This Row],[C_EMAIL_ID]])</f>
        <v>anne892@hotmail.com</v>
      </c>
      <c r="J144" s="1">
        <f>_xlfn.XLOOKUP(B144,Membership!A:A,Membership!B:B)</f>
        <v>38948</v>
      </c>
      <c r="K144" s="1">
        <f>_xlfn.XLOOKUP(B144,Membership!A:A,Membership!C:C)</f>
        <v>41281</v>
      </c>
      <c r="L144">
        <f t="shared" si="4"/>
        <v>6</v>
      </c>
    </row>
    <row r="145" spans="1:12" x14ac:dyDescent="0.25">
      <c r="A145">
        <v>2593</v>
      </c>
      <c r="B145">
        <v>410</v>
      </c>
      <c r="C145" t="s">
        <v>320</v>
      </c>
      <c r="D145" t="s">
        <v>416</v>
      </c>
      <c r="E145" t="s">
        <v>13</v>
      </c>
      <c r="F145" t="s">
        <v>417</v>
      </c>
      <c r="G145">
        <v>5212165773</v>
      </c>
      <c r="H145" t="str">
        <f>PROPER(Customer[[#This Row],[C_NAME]])</f>
        <v>Willie</v>
      </c>
      <c r="I145" t="str">
        <f>LOWER(Customer[[#This Row],[C_EMAIL_ID]])</f>
        <v>kathleen439@outlook.com</v>
      </c>
      <c r="J145" s="1">
        <f>_xlfn.XLOOKUP(B145,Membership!A:A,Membership!B:B)</f>
        <v>41343</v>
      </c>
      <c r="K145" s="1">
        <f>_xlfn.XLOOKUP(B145,Membership!A:A,Membership!C:C)</f>
        <v>48407</v>
      </c>
      <c r="L145">
        <f t="shared" si="4"/>
        <v>19</v>
      </c>
    </row>
    <row r="146" spans="1:12" x14ac:dyDescent="0.25">
      <c r="A146">
        <v>9807</v>
      </c>
      <c r="B146">
        <v>311</v>
      </c>
      <c r="C146" t="s">
        <v>418</v>
      </c>
      <c r="D146" t="s">
        <v>419</v>
      </c>
      <c r="E146" t="s">
        <v>17</v>
      </c>
      <c r="F146" t="s">
        <v>420</v>
      </c>
      <c r="G146">
        <v>1106944265</v>
      </c>
      <c r="H146" t="str">
        <f>PROPER(Customer[[#This Row],[C_NAME]])</f>
        <v>Max</v>
      </c>
      <c r="I146" t="str">
        <f>LOWER(Customer[[#This Row],[C_EMAIL_ID]])</f>
        <v>jalen33@yahoo.com</v>
      </c>
      <c r="J146" s="1">
        <f>_xlfn.XLOOKUP(B146,Membership!A:A,Membership!B:B)</f>
        <v>38436</v>
      </c>
      <c r="K146" s="1">
        <f>_xlfn.XLOOKUP(B146,Membership!A:A,Membership!C:C)</f>
        <v>43732</v>
      </c>
      <c r="L146">
        <f t="shared" si="4"/>
        <v>14</v>
      </c>
    </row>
    <row r="147" spans="1:12" x14ac:dyDescent="0.25">
      <c r="A147">
        <v>2525</v>
      </c>
      <c r="B147">
        <v>830</v>
      </c>
      <c r="C147" t="s">
        <v>421</v>
      </c>
      <c r="D147" t="s">
        <v>422</v>
      </c>
      <c r="E147" t="s">
        <v>9</v>
      </c>
      <c r="F147" t="s">
        <v>423</v>
      </c>
      <c r="G147">
        <v>9484650144</v>
      </c>
      <c r="H147" t="str">
        <f>PROPER(Customer[[#This Row],[C_NAME]])</f>
        <v>Danielle</v>
      </c>
      <c r="I147" t="str">
        <f>LOWER(Customer[[#This Row],[C_EMAIL_ID]])</f>
        <v>jensen191@ymail.co.in</v>
      </c>
      <c r="J147" s="1">
        <f>_xlfn.XLOOKUP(B147,Membership!A:A,Membership!B:B)</f>
        <v>40353</v>
      </c>
      <c r="K147" s="1">
        <f>_xlfn.XLOOKUP(B147,Membership!A:A,Membership!C:C)</f>
        <v>46345</v>
      </c>
      <c r="L147">
        <f t="shared" si="4"/>
        <v>16</v>
      </c>
    </row>
    <row r="148" spans="1:12" x14ac:dyDescent="0.25">
      <c r="A148">
        <v>1724</v>
      </c>
      <c r="B148">
        <v>805</v>
      </c>
      <c r="C148" t="s">
        <v>424</v>
      </c>
      <c r="D148" t="s">
        <v>425</v>
      </c>
      <c r="E148" t="s">
        <v>9</v>
      </c>
      <c r="F148" t="s">
        <v>426</v>
      </c>
      <c r="G148">
        <v>5023276687</v>
      </c>
      <c r="H148" t="str">
        <f>PROPER(Customer[[#This Row],[C_NAME]])</f>
        <v>Caitlin</v>
      </c>
      <c r="I148" t="str">
        <f>LOWER(Customer[[#This Row],[C_EMAIL_ID]])</f>
        <v>stanley922@ymail.co.in</v>
      </c>
      <c r="J148" s="1">
        <f>_xlfn.XLOOKUP(B148,Membership!A:A,Membership!B:B)</f>
        <v>30618</v>
      </c>
      <c r="K148" s="1">
        <f>_xlfn.XLOOKUP(B148,Membership!A:A,Membership!C:C)</f>
        <v>32019</v>
      </c>
      <c r="L148">
        <f t="shared" si="4"/>
        <v>3</v>
      </c>
    </row>
    <row r="149" spans="1:12" x14ac:dyDescent="0.25">
      <c r="A149">
        <v>7146</v>
      </c>
      <c r="B149">
        <v>351</v>
      </c>
      <c r="C149" t="s">
        <v>427</v>
      </c>
      <c r="D149" t="s">
        <v>428</v>
      </c>
      <c r="E149" t="s">
        <v>13</v>
      </c>
      <c r="F149" t="s">
        <v>429</v>
      </c>
      <c r="G149">
        <v>2048989791</v>
      </c>
      <c r="H149" t="str">
        <f>PROPER(Customer[[#This Row],[C_NAME]])</f>
        <v>Enrique</v>
      </c>
      <c r="I149" t="str">
        <f>LOWER(Customer[[#This Row],[C_EMAIL_ID]])</f>
        <v>stanley112@outlook.com</v>
      </c>
      <c r="J149" s="1">
        <f>_xlfn.XLOOKUP(B149,Membership!A:A,Membership!B:B)</f>
        <v>41589</v>
      </c>
      <c r="K149" s="1">
        <f>_xlfn.XLOOKUP(B149,Membership!A:A,Membership!C:C)</f>
        <v>46347</v>
      </c>
      <c r="L149">
        <f t="shared" si="4"/>
        <v>13</v>
      </c>
    </row>
    <row r="150" spans="1:12" x14ac:dyDescent="0.25">
      <c r="A150">
        <v>563</v>
      </c>
      <c r="B150">
        <v>529</v>
      </c>
      <c r="C150" t="s">
        <v>430</v>
      </c>
      <c r="D150" t="s">
        <v>431</v>
      </c>
      <c r="E150" t="s">
        <v>17</v>
      </c>
      <c r="F150" t="s">
        <v>432</v>
      </c>
      <c r="G150">
        <v>8133737988</v>
      </c>
      <c r="H150" t="str">
        <f>PROPER(Customer[[#This Row],[C_NAME]])</f>
        <v>Brenda</v>
      </c>
      <c r="I150" t="str">
        <f>LOWER(Customer[[#This Row],[C_EMAIL_ID]])</f>
        <v>pamela639@google.co.in</v>
      </c>
      <c r="J150" s="1">
        <f>_xlfn.XLOOKUP(B150,Membership!A:A,Membership!B:B)</f>
        <v>27557</v>
      </c>
      <c r="K150" s="1">
        <f>_xlfn.XLOOKUP(B150,Membership!A:A,Membership!C:C)</f>
        <v>30326</v>
      </c>
      <c r="L150">
        <f t="shared" si="4"/>
        <v>7</v>
      </c>
    </row>
    <row r="151" spans="1:12" x14ac:dyDescent="0.25">
      <c r="A151">
        <v>7771</v>
      </c>
      <c r="B151">
        <v>52</v>
      </c>
      <c r="C151" t="s">
        <v>433</v>
      </c>
      <c r="D151" t="s">
        <v>434</v>
      </c>
      <c r="E151" t="s">
        <v>17</v>
      </c>
      <c r="F151" t="s">
        <v>435</v>
      </c>
      <c r="G151">
        <v>3262621948</v>
      </c>
      <c r="H151" t="str">
        <f>PROPER(Customer[[#This Row],[C_NAME]])</f>
        <v>Andre</v>
      </c>
      <c r="I151" t="str">
        <f>LOWER(Customer[[#This Row],[C_EMAIL_ID]])</f>
        <v>isabela532@hotmail.com</v>
      </c>
      <c r="J151" s="1">
        <f>_xlfn.XLOOKUP(B151,Membership!A:A,Membership!B:B)</f>
        <v>37574</v>
      </c>
      <c r="K151" s="1">
        <f>_xlfn.XLOOKUP(B151,Membership!A:A,Membership!C:C)</f>
        <v>44918</v>
      </c>
      <c r="L151">
        <f t="shared" si="4"/>
        <v>20</v>
      </c>
    </row>
    <row r="152" spans="1:12" x14ac:dyDescent="0.25">
      <c r="A152">
        <v>4789</v>
      </c>
      <c r="B152">
        <v>30</v>
      </c>
      <c r="C152" t="s">
        <v>436</v>
      </c>
      <c r="D152" t="s">
        <v>437</v>
      </c>
      <c r="E152" t="s">
        <v>9</v>
      </c>
      <c r="F152" t="s">
        <v>438</v>
      </c>
      <c r="G152">
        <v>3426943865</v>
      </c>
      <c r="H152" t="str">
        <f>PROPER(Customer[[#This Row],[C_NAME]])</f>
        <v>Eunice</v>
      </c>
      <c r="I152" t="str">
        <f>LOWER(Customer[[#This Row],[C_EMAIL_ID]])</f>
        <v>tiffani333@outlook.com</v>
      </c>
      <c r="J152" s="1">
        <f>_xlfn.XLOOKUP(B152,Membership!A:A,Membership!B:B)</f>
        <v>42701</v>
      </c>
      <c r="K152" s="1">
        <f>_xlfn.XLOOKUP(B152,Membership!A:A,Membership!C:C)</f>
        <v>47289</v>
      </c>
      <c r="L152">
        <f t="shared" si="4"/>
        <v>12</v>
      </c>
    </row>
    <row r="153" spans="1:12" x14ac:dyDescent="0.25">
      <c r="A153">
        <v>3221</v>
      </c>
      <c r="B153">
        <v>421</v>
      </c>
      <c r="C153" t="s">
        <v>439</v>
      </c>
      <c r="D153" t="s">
        <v>440</v>
      </c>
      <c r="E153" t="s">
        <v>17</v>
      </c>
      <c r="F153" t="s">
        <v>441</v>
      </c>
      <c r="G153">
        <v>7803854441</v>
      </c>
      <c r="H153" t="str">
        <f>PROPER(Customer[[#This Row],[C_NAME]])</f>
        <v>Johnny</v>
      </c>
      <c r="I153" t="str">
        <f>LOWER(Customer[[#This Row],[C_EMAIL_ID]])</f>
        <v>ora822@outlook.com</v>
      </c>
      <c r="J153" s="1">
        <f>_xlfn.XLOOKUP(B153,Membership!A:A,Membership!B:B)</f>
        <v>37431</v>
      </c>
      <c r="K153" s="1">
        <f>_xlfn.XLOOKUP(B153,Membership!A:A,Membership!C:C)</f>
        <v>41643</v>
      </c>
      <c r="L153">
        <f t="shared" si="4"/>
        <v>11</v>
      </c>
    </row>
    <row r="154" spans="1:12" x14ac:dyDescent="0.25">
      <c r="A154">
        <v>5197</v>
      </c>
      <c r="B154">
        <v>696</v>
      </c>
      <c r="C154" t="s">
        <v>442</v>
      </c>
      <c r="D154" t="s">
        <v>443</v>
      </c>
      <c r="E154" t="s">
        <v>9</v>
      </c>
      <c r="F154" t="s">
        <v>444</v>
      </c>
      <c r="G154">
        <v>9770768694</v>
      </c>
      <c r="H154" t="str">
        <f>PROPER(Customer[[#This Row],[C_NAME]])</f>
        <v>Christa</v>
      </c>
      <c r="I154" t="str">
        <f>LOWER(Customer[[#This Row],[C_EMAIL_ID]])</f>
        <v>crystal579@outlook.com</v>
      </c>
      <c r="J154" s="1">
        <f>_xlfn.XLOOKUP(B154,Membership!A:A,Membership!B:B)</f>
        <v>35026</v>
      </c>
      <c r="K154" s="1">
        <f>_xlfn.XLOOKUP(B154,Membership!A:A,Membership!C:C)</f>
        <v>36681</v>
      </c>
      <c r="L154">
        <f t="shared" si="4"/>
        <v>4</v>
      </c>
    </row>
    <row r="155" spans="1:12" x14ac:dyDescent="0.25">
      <c r="A155">
        <v>8183</v>
      </c>
      <c r="B155">
        <v>788</v>
      </c>
      <c r="C155" t="s">
        <v>445</v>
      </c>
      <c r="D155" t="s">
        <v>446</v>
      </c>
      <c r="E155" t="s">
        <v>17</v>
      </c>
      <c r="F155" t="s">
        <v>447</v>
      </c>
      <c r="G155">
        <v>2496040176</v>
      </c>
      <c r="H155" t="str">
        <f>PROPER(Customer[[#This Row],[C_NAME]])</f>
        <v>Wilbur</v>
      </c>
      <c r="I155" t="str">
        <f>LOWER(Customer[[#This Row],[C_EMAIL_ID]])</f>
        <v>todd405@ymail.co.in</v>
      </c>
      <c r="J155" s="1">
        <f>_xlfn.XLOOKUP(B155,Membership!A:A,Membership!B:B)</f>
        <v>40677</v>
      </c>
      <c r="K155" s="1">
        <f>_xlfn.XLOOKUP(B155,Membership!A:A,Membership!C:C)</f>
        <v>41528</v>
      </c>
      <c r="L155">
        <f t="shared" si="4"/>
        <v>2</v>
      </c>
    </row>
    <row r="156" spans="1:12" x14ac:dyDescent="0.25">
      <c r="A156">
        <v>1126</v>
      </c>
      <c r="B156">
        <v>590</v>
      </c>
      <c r="C156" t="s">
        <v>448</v>
      </c>
      <c r="D156" t="s">
        <v>449</v>
      </c>
      <c r="E156" t="s">
        <v>13</v>
      </c>
      <c r="F156" t="s">
        <v>450</v>
      </c>
      <c r="G156">
        <v>5597753640</v>
      </c>
      <c r="H156" t="str">
        <f>PROPER(Customer[[#This Row],[C_NAME]])</f>
        <v>Steve</v>
      </c>
      <c r="I156" t="str">
        <f>LOWER(Customer[[#This Row],[C_EMAIL_ID]])</f>
        <v>frederick409@outlook.com</v>
      </c>
      <c r="J156" s="1">
        <f>_xlfn.XLOOKUP(B156,Membership!A:A,Membership!B:B)</f>
        <v>37462</v>
      </c>
      <c r="K156" s="1">
        <f>_xlfn.XLOOKUP(B156,Membership!A:A,Membership!C:C)</f>
        <v>40524</v>
      </c>
      <c r="L156">
        <f t="shared" si="4"/>
        <v>8</v>
      </c>
    </row>
    <row r="157" spans="1:12" x14ac:dyDescent="0.25">
      <c r="A157">
        <v>4899</v>
      </c>
      <c r="B157">
        <v>417</v>
      </c>
      <c r="C157" t="s">
        <v>451</v>
      </c>
      <c r="D157" t="s">
        <v>452</v>
      </c>
      <c r="E157" t="s">
        <v>9</v>
      </c>
      <c r="F157" t="s">
        <v>453</v>
      </c>
      <c r="G157">
        <v>6624913103</v>
      </c>
      <c r="H157" t="str">
        <f>PROPER(Customer[[#This Row],[C_NAME]])</f>
        <v>Ronnie</v>
      </c>
      <c r="I157" t="str">
        <f>LOWER(Customer[[#This Row],[C_EMAIL_ID]])</f>
        <v>makala843@ymail.com</v>
      </c>
      <c r="J157" s="1">
        <f>_xlfn.XLOOKUP(B157,Membership!A:A,Membership!B:B)</f>
        <v>40081</v>
      </c>
      <c r="K157" s="1">
        <f>_xlfn.XLOOKUP(B157,Membership!A:A,Membership!C:C)</f>
        <v>45001</v>
      </c>
      <c r="L157">
        <f t="shared" si="4"/>
        <v>13</v>
      </c>
    </row>
    <row r="158" spans="1:12" x14ac:dyDescent="0.25">
      <c r="A158">
        <v>4732</v>
      </c>
      <c r="B158">
        <v>635</v>
      </c>
      <c r="C158" t="s">
        <v>454</v>
      </c>
      <c r="D158" t="s">
        <v>455</v>
      </c>
      <c r="E158" t="s">
        <v>9</v>
      </c>
      <c r="F158" t="s">
        <v>456</v>
      </c>
      <c r="G158">
        <v>2676477272</v>
      </c>
      <c r="H158" t="str">
        <f>PROPER(Customer[[#This Row],[C_NAME]])</f>
        <v>Julie</v>
      </c>
      <c r="I158" t="str">
        <f>LOWER(Customer[[#This Row],[C_EMAIL_ID]])</f>
        <v>wayne473@gmail.com</v>
      </c>
      <c r="J158" s="1">
        <f>_xlfn.XLOOKUP(B158,Membership!A:A,Membership!B:B)</f>
        <v>29348</v>
      </c>
      <c r="K158" s="1">
        <f>_xlfn.XLOOKUP(B158,Membership!A:A,Membership!C:C)</f>
        <v>32068</v>
      </c>
      <c r="L158">
        <f t="shared" si="4"/>
        <v>7</v>
      </c>
    </row>
    <row r="159" spans="1:12" x14ac:dyDescent="0.25">
      <c r="A159">
        <v>4103</v>
      </c>
      <c r="B159">
        <v>549</v>
      </c>
      <c r="C159" t="s">
        <v>457</v>
      </c>
      <c r="D159" t="s">
        <v>458</v>
      </c>
      <c r="E159" t="s">
        <v>9</v>
      </c>
      <c r="F159" t="s">
        <v>459</v>
      </c>
      <c r="G159">
        <v>7164606551</v>
      </c>
      <c r="H159" t="str">
        <f>PROPER(Customer[[#This Row],[C_NAME]])</f>
        <v>Paola</v>
      </c>
      <c r="I159" t="str">
        <f>LOWER(Customer[[#This Row],[C_EMAIL_ID]])</f>
        <v>bart400@outlook.com</v>
      </c>
      <c r="J159" s="1">
        <f>_xlfn.XLOOKUP(B159,Membership!A:A,Membership!B:B)</f>
        <v>26598</v>
      </c>
      <c r="K159" s="1">
        <f>_xlfn.XLOOKUP(B159,Membership!A:A,Membership!C:C)</f>
        <v>32864</v>
      </c>
      <c r="L159">
        <f t="shared" si="4"/>
        <v>17</v>
      </c>
    </row>
    <row r="160" spans="1:12" x14ac:dyDescent="0.25">
      <c r="A160">
        <v>7861</v>
      </c>
      <c r="B160">
        <v>877</v>
      </c>
      <c r="C160" t="s">
        <v>460</v>
      </c>
      <c r="D160" t="s">
        <v>461</v>
      </c>
      <c r="E160" t="s">
        <v>13</v>
      </c>
      <c r="F160" t="s">
        <v>462</v>
      </c>
      <c r="G160">
        <v>6448120894</v>
      </c>
      <c r="H160" t="str">
        <f>PROPER(Customer[[#This Row],[C_NAME]])</f>
        <v>Shemar</v>
      </c>
      <c r="I160" t="str">
        <f>LOWER(Customer[[#This Row],[C_EMAIL_ID]])</f>
        <v>leighann675@gmail.com</v>
      </c>
      <c r="J160" s="1">
        <f>_xlfn.XLOOKUP(B160,Membership!A:A,Membership!B:B)</f>
        <v>38732</v>
      </c>
      <c r="K160" s="1">
        <f>_xlfn.XLOOKUP(B160,Membership!A:A,Membership!C:C)</f>
        <v>43959</v>
      </c>
      <c r="L160">
        <f t="shared" si="4"/>
        <v>14</v>
      </c>
    </row>
    <row r="161" spans="1:12" x14ac:dyDescent="0.25">
      <c r="A161">
        <v>7764</v>
      </c>
      <c r="B161">
        <v>690</v>
      </c>
      <c r="C161" t="s">
        <v>463</v>
      </c>
      <c r="D161" t="s">
        <v>464</v>
      </c>
      <c r="E161" t="s">
        <v>13</v>
      </c>
      <c r="F161" t="s">
        <v>465</v>
      </c>
      <c r="G161">
        <v>8065274712</v>
      </c>
      <c r="H161" t="str">
        <f>PROPER(Customer[[#This Row],[C_NAME]])</f>
        <v>Albert</v>
      </c>
      <c r="I161" t="str">
        <f>LOWER(Customer[[#This Row],[C_EMAIL_ID]])</f>
        <v>christina573@hotmail.com</v>
      </c>
      <c r="J161" s="1">
        <f>_xlfn.XLOOKUP(B161,Membership!A:A,Membership!B:B)</f>
        <v>40486</v>
      </c>
      <c r="K161" s="1">
        <f>_xlfn.XLOOKUP(B161,Membership!A:A,Membership!C:C)</f>
        <v>42090</v>
      </c>
      <c r="L161">
        <f t="shared" si="4"/>
        <v>4</v>
      </c>
    </row>
    <row r="162" spans="1:12" x14ac:dyDescent="0.25">
      <c r="A162">
        <v>5345</v>
      </c>
      <c r="B162">
        <v>164</v>
      </c>
      <c r="C162" t="s">
        <v>466</v>
      </c>
      <c r="D162" t="s">
        <v>467</v>
      </c>
      <c r="E162" t="s">
        <v>13</v>
      </c>
      <c r="F162" t="s">
        <v>468</v>
      </c>
      <c r="G162">
        <v>8636405460</v>
      </c>
      <c r="H162" t="str">
        <f>PROPER(Customer[[#This Row],[C_NAME]])</f>
        <v>Kyleigh</v>
      </c>
      <c r="I162" t="str">
        <f>LOWER(Customer[[#This Row],[C_EMAIL_ID]])</f>
        <v>edith189@ymail.co.in</v>
      </c>
      <c r="J162" s="1">
        <f>_xlfn.XLOOKUP(B162,Membership!A:A,Membership!B:B)</f>
        <v>35569</v>
      </c>
      <c r="K162" s="1">
        <f>_xlfn.XLOOKUP(B162,Membership!A:A,Membership!C:C)</f>
        <v>39460</v>
      </c>
      <c r="L162">
        <f t="shared" ref="L162:L193" si="5">DATEDIF(J162,K162,"Y")</f>
        <v>10</v>
      </c>
    </row>
    <row r="163" spans="1:12" x14ac:dyDescent="0.25">
      <c r="A163">
        <v>6191</v>
      </c>
      <c r="B163">
        <v>279</v>
      </c>
      <c r="C163" t="s">
        <v>388</v>
      </c>
      <c r="D163" t="s">
        <v>469</v>
      </c>
      <c r="E163" t="s">
        <v>17</v>
      </c>
      <c r="F163" t="s">
        <v>470</v>
      </c>
      <c r="G163">
        <v>7478765147</v>
      </c>
      <c r="H163" t="str">
        <f>PROPER(Customer[[#This Row],[C_NAME]])</f>
        <v>Julianna</v>
      </c>
      <c r="I163" t="str">
        <f>LOWER(Customer[[#This Row],[C_EMAIL_ID]])</f>
        <v>milburn442@hotmail.com</v>
      </c>
      <c r="J163" s="1">
        <f>_xlfn.XLOOKUP(B163,Membership!A:A,Membership!B:B)</f>
        <v>29908</v>
      </c>
      <c r="K163" s="1">
        <f>_xlfn.XLOOKUP(B163,Membership!A:A,Membership!C:C)</f>
        <v>32618</v>
      </c>
      <c r="L163">
        <f t="shared" si="5"/>
        <v>7</v>
      </c>
    </row>
    <row r="164" spans="1:12" x14ac:dyDescent="0.25">
      <c r="A164">
        <v>310</v>
      </c>
      <c r="B164">
        <v>574</v>
      </c>
      <c r="C164" t="s">
        <v>471</v>
      </c>
      <c r="D164" t="s">
        <v>472</v>
      </c>
      <c r="E164" t="s">
        <v>9</v>
      </c>
      <c r="F164" t="s">
        <v>473</v>
      </c>
      <c r="G164">
        <v>5704304288</v>
      </c>
      <c r="H164" t="str">
        <f>PROPER(Customer[[#This Row],[C_NAME]])</f>
        <v>Michaela</v>
      </c>
      <c r="I164" t="str">
        <f>LOWER(Customer[[#This Row],[C_EMAIL_ID]])</f>
        <v>loren171@gmail.com</v>
      </c>
      <c r="J164" s="1">
        <f>_xlfn.XLOOKUP(B164,Membership!A:A,Membership!B:B)</f>
        <v>38631</v>
      </c>
      <c r="K164" s="1">
        <f>_xlfn.XLOOKUP(B164,Membership!A:A,Membership!C:C)</f>
        <v>44297</v>
      </c>
      <c r="L164">
        <f t="shared" si="5"/>
        <v>15</v>
      </c>
    </row>
    <row r="165" spans="1:12" x14ac:dyDescent="0.25">
      <c r="A165">
        <v>3095</v>
      </c>
      <c r="B165">
        <v>222</v>
      </c>
      <c r="C165" t="s">
        <v>474</v>
      </c>
      <c r="D165" t="s">
        <v>475</v>
      </c>
      <c r="E165" t="s">
        <v>17</v>
      </c>
      <c r="F165" t="s">
        <v>476</v>
      </c>
      <c r="G165">
        <v>7239777917</v>
      </c>
      <c r="H165" t="str">
        <f>PROPER(Customer[[#This Row],[C_NAME]])</f>
        <v>Stefania</v>
      </c>
      <c r="I165" t="str">
        <f>LOWER(Customer[[#This Row],[C_EMAIL_ID]])</f>
        <v>zoie905@gmail.com</v>
      </c>
      <c r="J165" s="1">
        <f>_xlfn.XLOOKUP(B165,Membership!A:A,Membership!B:B)</f>
        <v>26370</v>
      </c>
      <c r="K165" s="1">
        <f>_xlfn.XLOOKUP(B165,Membership!A:A,Membership!C:C)</f>
        <v>32839</v>
      </c>
      <c r="L165">
        <f t="shared" si="5"/>
        <v>17</v>
      </c>
    </row>
    <row r="166" spans="1:12" x14ac:dyDescent="0.25">
      <c r="A166">
        <v>2159</v>
      </c>
      <c r="B166">
        <v>640</v>
      </c>
      <c r="C166" t="s">
        <v>477</v>
      </c>
      <c r="D166" t="s">
        <v>478</v>
      </c>
      <c r="E166" t="s">
        <v>17</v>
      </c>
      <c r="F166" t="s">
        <v>479</v>
      </c>
      <c r="G166">
        <v>2543703845</v>
      </c>
      <c r="H166" t="str">
        <f>PROPER(Customer[[#This Row],[C_NAME]])</f>
        <v>Nigel</v>
      </c>
      <c r="I166" t="str">
        <f>LOWER(Customer[[#This Row],[C_EMAIL_ID]])</f>
        <v>coleman372@yahoo.co.in</v>
      </c>
      <c r="J166" s="1">
        <f>_xlfn.XLOOKUP(B166,Membership!A:A,Membership!B:B)</f>
        <v>42654</v>
      </c>
      <c r="K166" s="1">
        <f>_xlfn.XLOOKUP(B166,Membership!A:A,Membership!C:C)</f>
        <v>46610</v>
      </c>
      <c r="L166">
        <f t="shared" si="5"/>
        <v>10</v>
      </c>
    </row>
    <row r="167" spans="1:12" x14ac:dyDescent="0.25">
      <c r="A167">
        <v>3569</v>
      </c>
      <c r="B167">
        <v>896</v>
      </c>
      <c r="C167" t="s">
        <v>480</v>
      </c>
      <c r="D167" t="s">
        <v>481</v>
      </c>
      <c r="E167" t="s">
        <v>17</v>
      </c>
      <c r="F167" t="s">
        <v>482</v>
      </c>
      <c r="G167">
        <v>6104073082</v>
      </c>
      <c r="H167" t="str">
        <f>PROPER(Customer[[#This Row],[C_NAME]])</f>
        <v>Mavis</v>
      </c>
      <c r="I167" t="str">
        <f>LOWER(Customer[[#This Row],[C_EMAIL_ID]])</f>
        <v>jennifer84@gmail.com</v>
      </c>
      <c r="J167" s="1">
        <f>_xlfn.XLOOKUP(B167,Membership!A:A,Membership!B:B)</f>
        <v>42675</v>
      </c>
      <c r="K167" s="1">
        <f>_xlfn.XLOOKUP(B167,Membership!A:A,Membership!C:C)</f>
        <v>44395</v>
      </c>
      <c r="L167">
        <f t="shared" si="5"/>
        <v>4</v>
      </c>
    </row>
    <row r="168" spans="1:12" x14ac:dyDescent="0.25">
      <c r="A168">
        <v>5958</v>
      </c>
      <c r="B168">
        <v>318</v>
      </c>
      <c r="C168" t="s">
        <v>151</v>
      </c>
      <c r="D168" t="s">
        <v>483</v>
      </c>
      <c r="E168" t="s">
        <v>17</v>
      </c>
      <c r="F168" t="s">
        <v>484</v>
      </c>
      <c r="G168">
        <v>5160860537</v>
      </c>
      <c r="H168" t="str">
        <f>PROPER(Customer[[#This Row],[C_NAME]])</f>
        <v>Todd</v>
      </c>
      <c r="I168" t="str">
        <f>LOWER(Customer[[#This Row],[C_EMAIL_ID]])</f>
        <v>jensen157@gmail.com</v>
      </c>
      <c r="J168" s="1">
        <f>_xlfn.XLOOKUP(B168,Membership!A:A,Membership!B:B)</f>
        <v>27180</v>
      </c>
      <c r="K168" s="1">
        <f>_xlfn.XLOOKUP(B168,Membership!A:A,Membership!C:C)</f>
        <v>31970</v>
      </c>
      <c r="L168">
        <f t="shared" si="5"/>
        <v>13</v>
      </c>
    </row>
    <row r="169" spans="1:12" x14ac:dyDescent="0.25">
      <c r="A169">
        <v>1275</v>
      </c>
      <c r="B169">
        <v>953</v>
      </c>
      <c r="C169" t="s">
        <v>485</v>
      </c>
      <c r="D169" t="s">
        <v>486</v>
      </c>
      <c r="E169" t="s">
        <v>17</v>
      </c>
      <c r="F169" t="s">
        <v>487</v>
      </c>
      <c r="G169">
        <v>2792956542</v>
      </c>
      <c r="H169" t="str">
        <f>PROPER(Customer[[#This Row],[C_NAME]])</f>
        <v>Marion</v>
      </c>
      <c r="I169" t="str">
        <f>LOWER(Customer[[#This Row],[C_EMAIL_ID]])</f>
        <v>cristina330@ymail.com</v>
      </c>
      <c r="J169" s="1">
        <f>_xlfn.XLOOKUP(B169,Membership!A:A,Membership!B:B)</f>
        <v>36589</v>
      </c>
      <c r="K169" s="1">
        <f>_xlfn.XLOOKUP(B169,Membership!A:A,Membership!C:C)</f>
        <v>42397</v>
      </c>
      <c r="L169">
        <f t="shared" si="5"/>
        <v>15</v>
      </c>
    </row>
    <row r="170" spans="1:12" x14ac:dyDescent="0.25">
      <c r="A170">
        <v>6357</v>
      </c>
      <c r="B170">
        <v>681</v>
      </c>
      <c r="C170" t="s">
        <v>488</v>
      </c>
      <c r="D170" t="s">
        <v>489</v>
      </c>
      <c r="E170" t="s">
        <v>17</v>
      </c>
      <c r="F170" t="s">
        <v>490</v>
      </c>
      <c r="G170">
        <v>3676237077</v>
      </c>
      <c r="H170" t="str">
        <f>PROPER(Customer[[#This Row],[C_NAME]])</f>
        <v>Adrianna</v>
      </c>
      <c r="I170" t="str">
        <f>LOWER(Customer[[#This Row],[C_EMAIL_ID]])</f>
        <v>annamaria542@ymail.co.in</v>
      </c>
      <c r="J170" s="1">
        <f>_xlfn.XLOOKUP(B170,Membership!A:A,Membership!B:B)</f>
        <v>39826</v>
      </c>
      <c r="K170" s="1">
        <f>_xlfn.XLOOKUP(B170,Membership!A:A,Membership!C:C)</f>
        <v>43852</v>
      </c>
      <c r="L170">
        <f t="shared" si="5"/>
        <v>11</v>
      </c>
    </row>
    <row r="171" spans="1:12" x14ac:dyDescent="0.25">
      <c r="A171">
        <v>4551</v>
      </c>
      <c r="B171">
        <v>972</v>
      </c>
      <c r="C171" t="s">
        <v>491</v>
      </c>
      <c r="D171" t="s">
        <v>492</v>
      </c>
      <c r="E171" t="s">
        <v>13</v>
      </c>
      <c r="F171" t="s">
        <v>493</v>
      </c>
      <c r="G171">
        <v>2375791511</v>
      </c>
      <c r="H171" t="str">
        <f>PROPER(Customer[[#This Row],[C_NAME]])</f>
        <v>Jaimee</v>
      </c>
      <c r="I171" t="str">
        <f>LOWER(Customer[[#This Row],[C_EMAIL_ID]])</f>
        <v>jennie676@gmail.com</v>
      </c>
      <c r="J171" s="1">
        <f>_xlfn.XLOOKUP(B171,Membership!A:A,Membership!B:B)</f>
        <v>39964</v>
      </c>
      <c r="K171" s="1">
        <f>_xlfn.XLOOKUP(B171,Membership!A:A,Membership!C:C)</f>
        <v>45194</v>
      </c>
      <c r="L171">
        <f t="shared" si="5"/>
        <v>14</v>
      </c>
    </row>
    <row r="172" spans="1:12" x14ac:dyDescent="0.25">
      <c r="A172">
        <v>4252</v>
      </c>
      <c r="B172">
        <v>407</v>
      </c>
      <c r="C172" t="s">
        <v>192</v>
      </c>
      <c r="D172" t="s">
        <v>494</v>
      </c>
      <c r="E172" t="s">
        <v>9</v>
      </c>
      <c r="F172" t="s">
        <v>495</v>
      </c>
      <c r="G172">
        <v>1578883625</v>
      </c>
      <c r="H172" t="str">
        <f>PROPER(Customer[[#This Row],[C_NAME]])</f>
        <v>Joe</v>
      </c>
      <c r="I172" t="str">
        <f>LOWER(Customer[[#This Row],[C_EMAIL_ID]])</f>
        <v>eldon965@gmail.com</v>
      </c>
      <c r="J172" s="1">
        <f>_xlfn.XLOOKUP(B172,Membership!A:A,Membership!B:B)</f>
        <v>32729</v>
      </c>
      <c r="K172" s="1">
        <f>_xlfn.XLOOKUP(B172,Membership!A:A,Membership!C:C)</f>
        <v>39308</v>
      </c>
      <c r="L172">
        <f t="shared" si="5"/>
        <v>18</v>
      </c>
    </row>
    <row r="173" spans="1:12" x14ac:dyDescent="0.25">
      <c r="A173">
        <v>2096</v>
      </c>
      <c r="B173">
        <v>226</v>
      </c>
      <c r="C173" t="s">
        <v>496</v>
      </c>
      <c r="D173" t="s">
        <v>497</v>
      </c>
      <c r="E173" t="s">
        <v>9</v>
      </c>
      <c r="F173" t="s">
        <v>498</v>
      </c>
      <c r="G173">
        <v>3365326918</v>
      </c>
      <c r="H173" t="str">
        <f>PROPER(Customer[[#This Row],[C_NAME]])</f>
        <v>Jennifer</v>
      </c>
      <c r="I173" t="str">
        <f>LOWER(Customer[[#This Row],[C_EMAIL_ID]])</f>
        <v>tammi464@google.co.in</v>
      </c>
      <c r="J173" s="1">
        <f>_xlfn.XLOOKUP(B173,Membership!A:A,Membership!B:B)</f>
        <v>31375</v>
      </c>
      <c r="K173" s="1">
        <f>_xlfn.XLOOKUP(B173,Membership!A:A,Membership!C:C)</f>
        <v>34598</v>
      </c>
      <c r="L173">
        <f t="shared" si="5"/>
        <v>8</v>
      </c>
    </row>
    <row r="174" spans="1:12" x14ac:dyDescent="0.25">
      <c r="A174">
        <v>5209</v>
      </c>
      <c r="B174">
        <v>762</v>
      </c>
      <c r="C174" t="s">
        <v>499</v>
      </c>
      <c r="D174" t="s">
        <v>500</v>
      </c>
      <c r="E174" t="s">
        <v>17</v>
      </c>
      <c r="F174" t="s">
        <v>501</v>
      </c>
      <c r="G174">
        <v>8798033999</v>
      </c>
      <c r="H174" t="str">
        <f>PROPER(Customer[[#This Row],[C_NAME]])</f>
        <v>Peyton</v>
      </c>
      <c r="I174" t="str">
        <f>LOWER(Customer[[#This Row],[C_EMAIL_ID]])</f>
        <v>elise537@google.co.in</v>
      </c>
      <c r="J174" s="1">
        <f>_xlfn.XLOOKUP(B174,Membership!A:A,Membership!B:B)</f>
        <v>43729</v>
      </c>
      <c r="K174" s="1">
        <f>_xlfn.XLOOKUP(B174,Membership!A:A,Membership!C:C)</f>
        <v>45888</v>
      </c>
      <c r="L174">
        <f t="shared" si="5"/>
        <v>5</v>
      </c>
    </row>
    <row r="175" spans="1:12" x14ac:dyDescent="0.25">
      <c r="A175">
        <v>9271</v>
      </c>
      <c r="B175">
        <v>872</v>
      </c>
      <c r="C175" t="s">
        <v>502</v>
      </c>
      <c r="D175" t="s">
        <v>503</v>
      </c>
      <c r="E175" t="s">
        <v>17</v>
      </c>
      <c r="F175" t="s">
        <v>504</v>
      </c>
      <c r="G175">
        <v>5734730611</v>
      </c>
      <c r="H175" t="str">
        <f>PROPER(Customer[[#This Row],[C_NAME]])</f>
        <v>Joel</v>
      </c>
      <c r="I175" t="str">
        <f>LOWER(Customer[[#This Row],[C_EMAIL_ID]])</f>
        <v>twanna51@outlook.com</v>
      </c>
      <c r="J175" s="1">
        <f>_xlfn.XLOOKUP(B175,Membership!A:A,Membership!B:B)</f>
        <v>36589</v>
      </c>
      <c r="K175" s="1">
        <f>_xlfn.XLOOKUP(B175,Membership!A:A,Membership!C:C)</f>
        <v>41980</v>
      </c>
      <c r="L175">
        <f t="shared" si="5"/>
        <v>14</v>
      </c>
    </row>
    <row r="176" spans="1:12" x14ac:dyDescent="0.25">
      <c r="A176">
        <v>6772</v>
      </c>
      <c r="B176">
        <v>473</v>
      </c>
      <c r="C176" t="s">
        <v>377</v>
      </c>
      <c r="D176" t="s">
        <v>505</v>
      </c>
      <c r="E176" t="s">
        <v>13</v>
      </c>
      <c r="F176" t="s">
        <v>506</v>
      </c>
      <c r="G176">
        <v>7600088539</v>
      </c>
      <c r="H176" t="str">
        <f>PROPER(Customer[[#This Row],[C_NAME]])</f>
        <v>Chasity</v>
      </c>
      <c r="I176" t="str">
        <f>LOWER(Customer[[#This Row],[C_EMAIL_ID]])</f>
        <v>dawn379@gmail.com</v>
      </c>
      <c r="J176" s="1">
        <f>_xlfn.XLOOKUP(B176,Membership!A:A,Membership!B:B)</f>
        <v>27879</v>
      </c>
      <c r="K176" s="1">
        <f>_xlfn.XLOOKUP(B176,Membership!A:A,Membership!C:C)</f>
        <v>34520</v>
      </c>
      <c r="L176">
        <f t="shared" si="5"/>
        <v>18</v>
      </c>
    </row>
    <row r="177" spans="1:12" x14ac:dyDescent="0.25">
      <c r="A177">
        <v>4628</v>
      </c>
      <c r="B177">
        <v>248</v>
      </c>
      <c r="C177" t="s">
        <v>507</v>
      </c>
      <c r="D177" t="s">
        <v>508</v>
      </c>
      <c r="E177" t="s">
        <v>17</v>
      </c>
      <c r="F177" t="s">
        <v>509</v>
      </c>
      <c r="G177">
        <v>5946963380</v>
      </c>
      <c r="H177" t="str">
        <f>PROPER(Customer[[#This Row],[C_NAME]])</f>
        <v>Darrel</v>
      </c>
      <c r="I177" t="str">
        <f>LOWER(Customer[[#This Row],[C_EMAIL_ID]])</f>
        <v>gael721@hotmail.com</v>
      </c>
      <c r="J177" s="1">
        <f>_xlfn.XLOOKUP(B177,Membership!A:A,Membership!B:B)</f>
        <v>40345</v>
      </c>
      <c r="K177" s="1">
        <f>_xlfn.XLOOKUP(B177,Membership!A:A,Membership!C:C)</f>
        <v>43963</v>
      </c>
      <c r="L177">
        <f t="shared" si="5"/>
        <v>9</v>
      </c>
    </row>
    <row r="178" spans="1:12" x14ac:dyDescent="0.25">
      <c r="A178">
        <v>3853</v>
      </c>
      <c r="B178">
        <v>416</v>
      </c>
      <c r="C178" t="s">
        <v>157</v>
      </c>
      <c r="D178" t="s">
        <v>510</v>
      </c>
      <c r="E178" t="s">
        <v>17</v>
      </c>
      <c r="F178" t="s">
        <v>511</v>
      </c>
      <c r="G178">
        <v>2407798660</v>
      </c>
      <c r="H178" t="str">
        <f>PROPER(Customer[[#This Row],[C_NAME]])</f>
        <v>Frank</v>
      </c>
      <c r="I178" t="str">
        <f>LOWER(Customer[[#This Row],[C_EMAIL_ID]])</f>
        <v>joao478@ymail.co.in</v>
      </c>
      <c r="J178" s="1">
        <f>_xlfn.XLOOKUP(B178,Membership!A:A,Membership!B:B)</f>
        <v>40802</v>
      </c>
      <c r="K178" s="1">
        <f>_xlfn.XLOOKUP(B178,Membership!A:A,Membership!C:C)</f>
        <v>46010</v>
      </c>
      <c r="L178">
        <f t="shared" si="5"/>
        <v>14</v>
      </c>
    </row>
    <row r="179" spans="1:12" x14ac:dyDescent="0.25">
      <c r="A179">
        <v>515</v>
      </c>
      <c r="B179">
        <v>425</v>
      </c>
      <c r="C179" t="s">
        <v>512</v>
      </c>
      <c r="D179" t="s">
        <v>513</v>
      </c>
      <c r="E179" t="s">
        <v>13</v>
      </c>
      <c r="F179" t="s">
        <v>514</v>
      </c>
      <c r="G179">
        <v>3644687016</v>
      </c>
      <c r="H179" t="str">
        <f>PROPER(Customer[[#This Row],[C_NAME]])</f>
        <v>Christina</v>
      </c>
      <c r="I179" t="str">
        <f>LOWER(Customer[[#This Row],[C_EMAIL_ID]])</f>
        <v>muriel437@yahoo.com</v>
      </c>
      <c r="J179" s="1">
        <f>_xlfn.XLOOKUP(B179,Membership!A:A,Membership!B:B)</f>
        <v>42890</v>
      </c>
      <c r="K179" s="1">
        <f>_xlfn.XLOOKUP(B179,Membership!A:A,Membership!C:C)</f>
        <v>43808</v>
      </c>
      <c r="L179">
        <f t="shared" si="5"/>
        <v>2</v>
      </c>
    </row>
    <row r="180" spans="1:12" x14ac:dyDescent="0.25">
      <c r="A180">
        <v>7513</v>
      </c>
      <c r="B180">
        <v>435</v>
      </c>
      <c r="C180" t="s">
        <v>515</v>
      </c>
      <c r="D180" t="s">
        <v>516</v>
      </c>
      <c r="E180" t="s">
        <v>13</v>
      </c>
      <c r="F180" t="s">
        <v>517</v>
      </c>
      <c r="G180">
        <v>1848195986</v>
      </c>
      <c r="H180" t="str">
        <f>PROPER(Customer[[#This Row],[C_NAME]])</f>
        <v>Bruno</v>
      </c>
      <c r="I180" t="str">
        <f>LOWER(Customer[[#This Row],[C_EMAIL_ID]])</f>
        <v>valeria27@ymail.com</v>
      </c>
      <c r="J180" s="1">
        <f>_xlfn.XLOOKUP(B180,Membership!A:A,Membership!B:B)</f>
        <v>34857</v>
      </c>
      <c r="K180" s="1">
        <f>_xlfn.XLOOKUP(B180,Membership!A:A,Membership!C:C)</f>
        <v>39999</v>
      </c>
      <c r="L180">
        <f t="shared" si="5"/>
        <v>14</v>
      </c>
    </row>
    <row r="181" spans="1:12" x14ac:dyDescent="0.25">
      <c r="A181">
        <v>9030</v>
      </c>
      <c r="B181">
        <v>370</v>
      </c>
      <c r="C181" t="s">
        <v>518</v>
      </c>
      <c r="D181" t="s">
        <v>519</v>
      </c>
      <c r="E181" t="s">
        <v>9</v>
      </c>
      <c r="F181" t="s">
        <v>520</v>
      </c>
      <c r="G181">
        <v>5755404369</v>
      </c>
      <c r="H181" t="str">
        <f>PROPER(Customer[[#This Row],[C_NAME]])</f>
        <v>Fabiola</v>
      </c>
      <c r="I181" t="str">
        <f>LOWER(Customer[[#This Row],[C_EMAIL_ID]])</f>
        <v>yasmeen6@outlook.com</v>
      </c>
      <c r="J181" s="1">
        <f>_xlfn.XLOOKUP(B181,Membership!A:A,Membership!B:B)</f>
        <v>35960</v>
      </c>
      <c r="K181" s="1">
        <f>_xlfn.XLOOKUP(B181,Membership!A:A,Membership!C:C)</f>
        <v>42486</v>
      </c>
      <c r="L181">
        <f t="shared" si="5"/>
        <v>17</v>
      </c>
    </row>
    <row r="182" spans="1:12" x14ac:dyDescent="0.25">
      <c r="A182">
        <v>2378</v>
      </c>
      <c r="B182">
        <v>406</v>
      </c>
      <c r="C182" t="s">
        <v>248</v>
      </c>
      <c r="D182" t="s">
        <v>521</v>
      </c>
      <c r="E182" t="s">
        <v>9</v>
      </c>
      <c r="F182" t="s">
        <v>522</v>
      </c>
      <c r="G182">
        <v>2705083615</v>
      </c>
      <c r="H182" t="str">
        <f>PROPER(Customer[[#This Row],[C_NAME]])</f>
        <v>Lucien</v>
      </c>
      <c r="I182" t="str">
        <f>LOWER(Customer[[#This Row],[C_EMAIL_ID]])</f>
        <v>cecilia196@hotmail.com</v>
      </c>
      <c r="J182" s="1">
        <f>_xlfn.XLOOKUP(B182,Membership!A:A,Membership!B:B)</f>
        <v>32359</v>
      </c>
      <c r="K182" s="1">
        <f>_xlfn.XLOOKUP(B182,Membership!A:A,Membership!C:C)</f>
        <v>39222</v>
      </c>
      <c r="L182">
        <f t="shared" si="5"/>
        <v>18</v>
      </c>
    </row>
    <row r="183" spans="1:12" x14ac:dyDescent="0.25">
      <c r="A183">
        <v>5894</v>
      </c>
      <c r="B183">
        <v>976</v>
      </c>
      <c r="C183" t="s">
        <v>523</v>
      </c>
      <c r="D183" t="s">
        <v>524</v>
      </c>
      <c r="E183" t="s">
        <v>9</v>
      </c>
      <c r="F183" t="s">
        <v>525</v>
      </c>
      <c r="G183">
        <v>2287296780</v>
      </c>
      <c r="H183" t="str">
        <f>PROPER(Customer[[#This Row],[C_NAME]])</f>
        <v>Laverne</v>
      </c>
      <c r="I183" t="str">
        <f>LOWER(Customer[[#This Row],[C_EMAIL_ID]])</f>
        <v>brent496@ymail.co.in</v>
      </c>
      <c r="J183" s="1">
        <f>_xlfn.XLOOKUP(B183,Membership!A:A,Membership!B:B)</f>
        <v>41343</v>
      </c>
      <c r="K183" s="1">
        <f>_xlfn.XLOOKUP(B183,Membership!A:A,Membership!C:C)</f>
        <v>41645</v>
      </c>
      <c r="L183">
        <f t="shared" si="5"/>
        <v>0</v>
      </c>
    </row>
    <row r="184" spans="1:12" x14ac:dyDescent="0.25">
      <c r="A184">
        <v>7587</v>
      </c>
      <c r="B184">
        <v>349</v>
      </c>
      <c r="C184" t="s">
        <v>526</v>
      </c>
      <c r="D184" t="s">
        <v>527</v>
      </c>
      <c r="E184" t="s">
        <v>9</v>
      </c>
      <c r="F184" t="s">
        <v>528</v>
      </c>
      <c r="G184">
        <v>7152577292</v>
      </c>
      <c r="H184" t="str">
        <f>PROPER(Customer[[#This Row],[C_NAME]])</f>
        <v>Joseph</v>
      </c>
      <c r="I184" t="str">
        <f>LOWER(Customer[[#This Row],[C_EMAIL_ID]])</f>
        <v>gray853@yahoo.co.in</v>
      </c>
      <c r="J184" s="1">
        <f>_xlfn.XLOOKUP(B184,Membership!A:A,Membership!B:B)</f>
        <v>41049</v>
      </c>
      <c r="K184" s="1">
        <f>_xlfn.XLOOKUP(B184,Membership!A:A,Membership!C:C)</f>
        <v>43066</v>
      </c>
      <c r="L184">
        <f t="shared" si="5"/>
        <v>5</v>
      </c>
    </row>
    <row r="185" spans="1:12" x14ac:dyDescent="0.25">
      <c r="A185">
        <v>1424</v>
      </c>
      <c r="B185">
        <v>595</v>
      </c>
      <c r="C185" t="s">
        <v>353</v>
      </c>
      <c r="D185" t="s">
        <v>529</v>
      </c>
      <c r="E185" t="s">
        <v>17</v>
      </c>
      <c r="F185" t="s">
        <v>530</v>
      </c>
      <c r="G185">
        <v>5818539801</v>
      </c>
      <c r="H185" t="str">
        <f>PROPER(Customer[[#This Row],[C_NAME]])</f>
        <v>George</v>
      </c>
      <c r="I185" t="str">
        <f>LOWER(Customer[[#This Row],[C_EMAIL_ID]])</f>
        <v>kenny233@hotmail.com</v>
      </c>
      <c r="J185" s="1">
        <f>_xlfn.XLOOKUP(B185,Membership!A:A,Membership!B:B)</f>
        <v>30820</v>
      </c>
      <c r="K185" s="1">
        <f>_xlfn.XLOOKUP(B185,Membership!A:A,Membership!C:C)</f>
        <v>36600</v>
      </c>
      <c r="L185">
        <f t="shared" si="5"/>
        <v>15</v>
      </c>
    </row>
    <row r="186" spans="1:12" x14ac:dyDescent="0.25">
      <c r="A186">
        <v>5214</v>
      </c>
      <c r="B186">
        <v>366</v>
      </c>
      <c r="C186" t="s">
        <v>531</v>
      </c>
      <c r="D186" t="s">
        <v>532</v>
      </c>
      <c r="E186" t="s">
        <v>17</v>
      </c>
      <c r="F186" t="s">
        <v>533</v>
      </c>
      <c r="G186">
        <v>5684234865</v>
      </c>
      <c r="H186" t="str">
        <f>PROPER(Customer[[#This Row],[C_NAME]])</f>
        <v>Velma</v>
      </c>
      <c r="I186" t="str">
        <f>LOWER(Customer[[#This Row],[C_EMAIL_ID]])</f>
        <v>jasmine269@hotmail.com</v>
      </c>
      <c r="J186" s="1">
        <f>_xlfn.XLOOKUP(B186,Membership!A:A,Membership!B:B)</f>
        <v>26107</v>
      </c>
      <c r="K186" s="1">
        <f>_xlfn.XLOOKUP(B186,Membership!A:A,Membership!C:C)</f>
        <v>27549</v>
      </c>
      <c r="L186">
        <f t="shared" si="5"/>
        <v>3</v>
      </c>
    </row>
    <row r="187" spans="1:12" x14ac:dyDescent="0.25">
      <c r="A187">
        <v>8249</v>
      </c>
      <c r="B187">
        <v>39</v>
      </c>
      <c r="C187" t="s">
        <v>534</v>
      </c>
      <c r="D187" t="s">
        <v>535</v>
      </c>
      <c r="E187" t="s">
        <v>17</v>
      </c>
      <c r="F187" t="s">
        <v>536</v>
      </c>
      <c r="G187">
        <v>8687515154</v>
      </c>
      <c r="H187" t="str">
        <f>PROPER(Customer[[#This Row],[C_NAME]])</f>
        <v>Christy</v>
      </c>
      <c r="I187" t="str">
        <f>LOWER(Customer[[#This Row],[C_EMAIL_ID]])</f>
        <v>kelly404@gmail.com</v>
      </c>
      <c r="J187" s="1">
        <f>_xlfn.XLOOKUP(B187,Membership!A:A,Membership!B:B)</f>
        <v>34893</v>
      </c>
      <c r="K187" s="1">
        <f>_xlfn.XLOOKUP(B187,Membership!A:A,Membership!C:C)</f>
        <v>40036</v>
      </c>
      <c r="L187">
        <f t="shared" si="5"/>
        <v>14</v>
      </c>
    </row>
    <row r="188" spans="1:12" x14ac:dyDescent="0.25">
      <c r="A188">
        <v>3172</v>
      </c>
      <c r="B188">
        <v>978</v>
      </c>
      <c r="C188" t="s">
        <v>28</v>
      </c>
      <c r="D188" t="s">
        <v>537</v>
      </c>
      <c r="E188" t="s">
        <v>9</v>
      </c>
      <c r="F188" t="s">
        <v>538</v>
      </c>
      <c r="G188">
        <v>9719226221</v>
      </c>
      <c r="H188" t="str">
        <f>PROPER(Customer[[#This Row],[C_NAME]])</f>
        <v>Catherine</v>
      </c>
      <c r="I188" t="str">
        <f>LOWER(Customer[[#This Row],[C_EMAIL_ID]])</f>
        <v>alysha459@ymail.co.in</v>
      </c>
      <c r="J188" s="1">
        <f>_xlfn.XLOOKUP(B188,Membership!A:A,Membership!B:B)</f>
        <v>29419</v>
      </c>
      <c r="K188" s="1">
        <f>_xlfn.XLOOKUP(B188,Membership!A:A,Membership!C:C)</f>
        <v>30070</v>
      </c>
      <c r="L188">
        <f t="shared" si="5"/>
        <v>1</v>
      </c>
    </row>
    <row r="189" spans="1:12" x14ac:dyDescent="0.25">
      <c r="A189">
        <v>5489</v>
      </c>
      <c r="B189">
        <v>623</v>
      </c>
      <c r="C189" t="s">
        <v>539</v>
      </c>
      <c r="D189" t="s">
        <v>540</v>
      </c>
      <c r="E189" t="s">
        <v>17</v>
      </c>
      <c r="F189" t="s">
        <v>541</v>
      </c>
      <c r="G189">
        <v>4582180805</v>
      </c>
      <c r="H189" t="str">
        <f>PROPER(Customer[[#This Row],[C_NAME]])</f>
        <v>Lita</v>
      </c>
      <c r="I189" t="str">
        <f>LOWER(Customer[[#This Row],[C_EMAIL_ID]])</f>
        <v>rashawn68@hotmail.com</v>
      </c>
      <c r="J189" s="1">
        <f>_xlfn.XLOOKUP(B189,Membership!A:A,Membership!B:B)</f>
        <v>28109</v>
      </c>
      <c r="K189" s="1">
        <f>_xlfn.XLOOKUP(B189,Membership!A:A,Membership!C:C)</f>
        <v>31210</v>
      </c>
      <c r="L189">
        <f t="shared" si="5"/>
        <v>8</v>
      </c>
    </row>
    <row r="190" spans="1:12" x14ac:dyDescent="0.25">
      <c r="A190">
        <v>2037</v>
      </c>
      <c r="B190">
        <v>751</v>
      </c>
      <c r="C190" t="s">
        <v>542</v>
      </c>
      <c r="D190" t="s">
        <v>543</v>
      </c>
      <c r="E190" t="s">
        <v>13</v>
      </c>
      <c r="F190" t="s">
        <v>544</v>
      </c>
      <c r="G190">
        <v>1731496685</v>
      </c>
      <c r="H190" t="str">
        <f>PROPER(Customer[[#This Row],[C_NAME]])</f>
        <v>Stephon</v>
      </c>
      <c r="I190" t="str">
        <f>LOWER(Customer[[#This Row],[C_EMAIL_ID]])</f>
        <v>rita822@google.co.in</v>
      </c>
      <c r="J190" s="1">
        <f>_xlfn.XLOOKUP(B190,Membership!A:A,Membership!B:B)</f>
        <v>40353</v>
      </c>
      <c r="K190" s="1">
        <f>_xlfn.XLOOKUP(B190,Membership!A:A,Membership!C:C)</f>
        <v>42443</v>
      </c>
      <c r="L190">
        <f t="shared" si="5"/>
        <v>5</v>
      </c>
    </row>
    <row r="191" spans="1:12" x14ac:dyDescent="0.25">
      <c r="A191">
        <v>2401</v>
      </c>
      <c r="B191">
        <v>899</v>
      </c>
      <c r="C191" t="s">
        <v>545</v>
      </c>
      <c r="D191" t="s">
        <v>546</v>
      </c>
      <c r="E191" t="s">
        <v>13</v>
      </c>
      <c r="F191" t="s">
        <v>547</v>
      </c>
      <c r="G191">
        <v>2656568705</v>
      </c>
      <c r="H191" t="str">
        <f>PROPER(Customer[[#This Row],[C_NAME]])</f>
        <v>Demetrius</v>
      </c>
      <c r="I191" t="str">
        <f>LOWER(Customer[[#This Row],[C_EMAIL_ID]])</f>
        <v>jaime171@hotmail.com</v>
      </c>
      <c r="J191" s="1">
        <f>_xlfn.XLOOKUP(B191,Membership!A:A,Membership!B:B)</f>
        <v>26367</v>
      </c>
      <c r="K191" s="1">
        <f>_xlfn.XLOOKUP(B191,Membership!A:A,Membership!C:C)</f>
        <v>30146</v>
      </c>
      <c r="L191">
        <f t="shared" si="5"/>
        <v>10</v>
      </c>
    </row>
    <row r="192" spans="1:12" x14ac:dyDescent="0.25">
      <c r="A192">
        <v>1303</v>
      </c>
      <c r="B192">
        <v>396</v>
      </c>
      <c r="C192" t="s">
        <v>548</v>
      </c>
      <c r="D192" t="s">
        <v>549</v>
      </c>
      <c r="E192" t="s">
        <v>9</v>
      </c>
      <c r="F192" t="s">
        <v>473</v>
      </c>
      <c r="G192">
        <v>2383254556</v>
      </c>
      <c r="H192" t="str">
        <f>PROPER(Customer[[#This Row],[C_NAME]])</f>
        <v>Evan</v>
      </c>
      <c r="I192" t="str">
        <f>LOWER(Customer[[#This Row],[C_EMAIL_ID]])</f>
        <v>debora90@gmail.com</v>
      </c>
      <c r="J192" s="1">
        <f>_xlfn.XLOOKUP(B192,Membership!A:A,Membership!B:B)</f>
        <v>30071</v>
      </c>
      <c r="K192" s="1">
        <f>_xlfn.XLOOKUP(B192,Membership!A:A,Membership!C:C)</f>
        <v>35395</v>
      </c>
      <c r="L192">
        <f t="shared" si="5"/>
        <v>14</v>
      </c>
    </row>
    <row r="193" spans="1:12" x14ac:dyDescent="0.25">
      <c r="A193">
        <v>6798</v>
      </c>
      <c r="B193">
        <v>792</v>
      </c>
      <c r="C193" t="s">
        <v>550</v>
      </c>
      <c r="D193" t="s">
        <v>551</v>
      </c>
      <c r="E193" t="s">
        <v>9</v>
      </c>
      <c r="F193" t="s">
        <v>552</v>
      </c>
      <c r="G193">
        <v>3546706958</v>
      </c>
      <c r="H193" t="str">
        <f>PROPER(Customer[[#This Row],[C_NAME]])</f>
        <v>Rita</v>
      </c>
      <c r="I193" t="str">
        <f>LOWER(Customer[[#This Row],[C_EMAIL_ID]])</f>
        <v>jan949@yahoo.co.in</v>
      </c>
      <c r="J193" s="1">
        <f>_xlfn.XLOOKUP(B193,Membership!A:A,Membership!B:B)</f>
        <v>37044</v>
      </c>
      <c r="K193" s="1">
        <f>_xlfn.XLOOKUP(B193,Membership!A:A,Membership!C:C)</f>
        <v>41647</v>
      </c>
      <c r="L193">
        <f t="shared" si="5"/>
        <v>12</v>
      </c>
    </row>
    <row r="194" spans="1:12" x14ac:dyDescent="0.25">
      <c r="A194">
        <v>9917</v>
      </c>
      <c r="B194">
        <v>808</v>
      </c>
      <c r="C194" t="s">
        <v>67</v>
      </c>
      <c r="D194" t="s">
        <v>553</v>
      </c>
      <c r="E194" t="s">
        <v>13</v>
      </c>
      <c r="F194" t="s">
        <v>554</v>
      </c>
      <c r="G194">
        <v>4148247171</v>
      </c>
      <c r="H194" t="str">
        <f>PROPER(Customer[[#This Row],[C_NAME]])</f>
        <v>Franklin</v>
      </c>
      <c r="I194" t="str">
        <f>LOWER(Customer[[#This Row],[C_EMAIL_ID]])</f>
        <v>van725@yahoo.com</v>
      </c>
      <c r="J194" s="1">
        <f>_xlfn.XLOOKUP(B194,Membership!A:A,Membership!B:B)</f>
        <v>41746</v>
      </c>
      <c r="K194" s="1">
        <f>_xlfn.XLOOKUP(B194,Membership!A:A,Membership!C:C)</f>
        <v>48917</v>
      </c>
      <c r="L194">
        <f t="shared" ref="L194:L201" si="6">DATEDIF(J194,K194,"Y")</f>
        <v>19</v>
      </c>
    </row>
    <row r="195" spans="1:12" x14ac:dyDescent="0.25">
      <c r="A195">
        <v>2969</v>
      </c>
      <c r="B195">
        <v>903</v>
      </c>
      <c r="C195" t="s">
        <v>555</v>
      </c>
      <c r="D195" t="s">
        <v>556</v>
      </c>
      <c r="E195" t="s">
        <v>17</v>
      </c>
      <c r="F195" t="s">
        <v>557</v>
      </c>
      <c r="G195">
        <v>8158241511</v>
      </c>
      <c r="H195" t="str">
        <f>PROPER(Customer[[#This Row],[C_NAME]])</f>
        <v>Dianne</v>
      </c>
      <c r="I195" t="str">
        <f>LOWER(Customer[[#This Row],[C_EMAIL_ID]])</f>
        <v>jalen271@gmail.com</v>
      </c>
      <c r="J195" s="1">
        <f>_xlfn.XLOOKUP(B195,Membership!A:A,Membership!B:B)</f>
        <v>41603</v>
      </c>
      <c r="K195" s="1">
        <f>_xlfn.XLOOKUP(B195,Membership!A:A,Membership!C:C)</f>
        <v>42856</v>
      </c>
      <c r="L195">
        <f t="shared" si="6"/>
        <v>3</v>
      </c>
    </row>
    <row r="196" spans="1:12" x14ac:dyDescent="0.25">
      <c r="A196">
        <v>8737</v>
      </c>
      <c r="B196">
        <v>335</v>
      </c>
      <c r="C196" t="s">
        <v>558</v>
      </c>
      <c r="D196" t="s">
        <v>559</v>
      </c>
      <c r="E196" t="s">
        <v>17</v>
      </c>
      <c r="F196" t="s">
        <v>560</v>
      </c>
      <c r="G196">
        <v>1345806313</v>
      </c>
      <c r="H196" t="str">
        <f>PROPER(Customer[[#This Row],[C_NAME]])</f>
        <v>Mickey</v>
      </c>
      <c r="I196" t="str">
        <f>LOWER(Customer[[#This Row],[C_EMAIL_ID]])</f>
        <v>samual419@outlook.com</v>
      </c>
      <c r="J196" s="1">
        <f>_xlfn.XLOOKUP(B196,Membership!A:A,Membership!B:B)</f>
        <v>30974</v>
      </c>
      <c r="K196" s="1">
        <f>_xlfn.XLOOKUP(B196,Membership!A:A,Membership!C:C)</f>
        <v>35261</v>
      </c>
      <c r="L196">
        <f t="shared" si="6"/>
        <v>11</v>
      </c>
    </row>
    <row r="197" spans="1:12" x14ac:dyDescent="0.25">
      <c r="A197">
        <v>2104</v>
      </c>
      <c r="B197">
        <v>784</v>
      </c>
      <c r="C197" t="s">
        <v>561</v>
      </c>
      <c r="D197" t="s">
        <v>562</v>
      </c>
      <c r="E197" t="s">
        <v>13</v>
      </c>
      <c r="F197" t="s">
        <v>563</v>
      </c>
      <c r="G197">
        <v>9076432313</v>
      </c>
      <c r="H197" t="str">
        <f>PROPER(Customer[[#This Row],[C_NAME]])</f>
        <v>Amy</v>
      </c>
      <c r="I197" t="str">
        <f>LOWER(Customer[[#This Row],[C_EMAIL_ID]])</f>
        <v>holli358@ymail.com</v>
      </c>
      <c r="J197" s="1">
        <f>_xlfn.XLOOKUP(B197,Membership!A:A,Membership!B:B)</f>
        <v>34491</v>
      </c>
      <c r="K197" s="1">
        <f>_xlfn.XLOOKUP(B197,Membership!A:A,Membership!C:C)</f>
        <v>39592</v>
      </c>
      <c r="L197">
        <f t="shared" si="6"/>
        <v>13</v>
      </c>
    </row>
    <row r="198" spans="1:12" x14ac:dyDescent="0.25">
      <c r="A198">
        <v>1702</v>
      </c>
      <c r="B198">
        <v>683</v>
      </c>
      <c r="C198" t="s">
        <v>564</v>
      </c>
      <c r="D198" t="s">
        <v>565</v>
      </c>
      <c r="E198" t="s">
        <v>13</v>
      </c>
      <c r="F198" t="s">
        <v>566</v>
      </c>
      <c r="G198">
        <v>6507962797</v>
      </c>
      <c r="H198" t="str">
        <f>PROPER(Customer[[#This Row],[C_NAME]])</f>
        <v>Eileen</v>
      </c>
      <c r="I198" t="str">
        <f>LOWER(Customer[[#This Row],[C_EMAIL_ID]])</f>
        <v>latasha554@ymail.com</v>
      </c>
      <c r="J198" s="1">
        <f>_xlfn.XLOOKUP(B198,Membership!A:A,Membership!B:B)</f>
        <v>40408</v>
      </c>
      <c r="K198" s="1">
        <f>_xlfn.XLOOKUP(B198,Membership!A:A,Membership!C:C)</f>
        <v>46382</v>
      </c>
      <c r="L198">
        <f t="shared" si="6"/>
        <v>16</v>
      </c>
    </row>
    <row r="199" spans="1:12" x14ac:dyDescent="0.25">
      <c r="A199">
        <v>8933</v>
      </c>
      <c r="B199">
        <v>536</v>
      </c>
      <c r="C199" t="s">
        <v>567</v>
      </c>
      <c r="D199" t="s">
        <v>568</v>
      </c>
      <c r="E199" t="s">
        <v>17</v>
      </c>
      <c r="F199" t="s">
        <v>569</v>
      </c>
      <c r="G199">
        <v>5130575428</v>
      </c>
      <c r="H199" t="str">
        <f>PROPER(Customer[[#This Row],[C_NAME]])</f>
        <v>Stanley</v>
      </c>
      <c r="I199" t="str">
        <f>LOWER(Customer[[#This Row],[C_EMAIL_ID]])</f>
        <v>alexia103@ymail.com</v>
      </c>
      <c r="J199" s="1">
        <f>_xlfn.XLOOKUP(B199,Membership!A:A,Membership!B:B)</f>
        <v>40030</v>
      </c>
      <c r="K199" s="1">
        <f>_xlfn.XLOOKUP(B199,Membership!A:A,Membership!C:C)</f>
        <v>41940</v>
      </c>
      <c r="L199">
        <f t="shared" si="6"/>
        <v>5</v>
      </c>
    </row>
    <row r="200" spans="1:12" x14ac:dyDescent="0.25">
      <c r="A200">
        <v>3624</v>
      </c>
      <c r="B200">
        <v>142</v>
      </c>
      <c r="C200" t="s">
        <v>570</v>
      </c>
      <c r="D200" t="s">
        <v>571</v>
      </c>
      <c r="E200" t="s">
        <v>9</v>
      </c>
      <c r="F200" t="s">
        <v>572</v>
      </c>
      <c r="G200">
        <v>7652369372</v>
      </c>
      <c r="H200" t="str">
        <f>PROPER(Customer[[#This Row],[C_NAME]])</f>
        <v>Douglas</v>
      </c>
      <c r="I200" t="str">
        <f>LOWER(Customer[[#This Row],[C_EMAIL_ID]])</f>
        <v>beth30@yahoo.co.in</v>
      </c>
      <c r="J200" s="1">
        <f>_xlfn.XLOOKUP(B200,Membership!A:A,Membership!B:B)</f>
        <v>42858</v>
      </c>
      <c r="K200" s="1">
        <f>_xlfn.XLOOKUP(B200,Membership!A:A,Membership!C:C)</f>
        <v>44812</v>
      </c>
      <c r="L200">
        <f t="shared" si="6"/>
        <v>5</v>
      </c>
    </row>
    <row r="201" spans="1:12" x14ac:dyDescent="0.25">
      <c r="A201">
        <v>4892</v>
      </c>
      <c r="B201">
        <v>617</v>
      </c>
      <c r="C201" t="s">
        <v>573</v>
      </c>
      <c r="D201" t="s">
        <v>574</v>
      </c>
      <c r="E201" t="s">
        <v>13</v>
      </c>
      <c r="F201" t="s">
        <v>575</v>
      </c>
      <c r="G201">
        <v>9062287896</v>
      </c>
      <c r="H201" t="str">
        <f>PROPER(Customer[[#This Row],[C_NAME]])</f>
        <v>Jill</v>
      </c>
      <c r="I201" t="str">
        <f>LOWER(Customer[[#This Row],[C_EMAIL_ID]])</f>
        <v>valencia714@yahoo.co.in</v>
      </c>
      <c r="J201" s="1">
        <f>_xlfn.XLOOKUP(B201,Membership!A:A,Membership!B:B)</f>
        <v>33099</v>
      </c>
      <c r="K201" s="1">
        <f>_xlfn.XLOOKUP(B201,Membership!A:A,Membership!C:C)</f>
        <v>34310</v>
      </c>
      <c r="L201">
        <f t="shared" si="6"/>
        <v>3</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9EFC5-6D78-406A-94FB-D947BD8A5C08}">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FF3A997-6CCC-4857-8A4C-CA8BF299683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Status</vt:lpstr>
      <vt:lpstr>Pivot_Avg_Weight</vt:lpstr>
      <vt:lpstr>Shipment_Domain_Comparison</vt:lpstr>
      <vt:lpstr>Avg_delivery_time</vt:lpstr>
      <vt:lpstr>Shipment_efficiency_analysis</vt:lpstr>
      <vt:lpstr>Shipment_Details</vt:lpstr>
      <vt:lpstr>Top_5_Customer</vt:lpstr>
      <vt:lpstr>Payment_Summary_PT</vt:lpstr>
      <vt:lpstr>Dynamic_payment_analysis</vt:lpstr>
      <vt:lpstr>Payment_Details</vt:lpstr>
      <vt:lpstr>Membership</vt:lpstr>
      <vt:lpstr>Top_5_Employees</vt:lpstr>
      <vt:lpstr>Employee_Shipment_Count</vt:lpstr>
      <vt:lpstr>Designation_shipment_charge</vt:lpstr>
      <vt:lpstr>employee_manages_shipment</vt:lpstr>
      <vt:lpstr>Employee_Details</vt:lpstr>
      <vt:lpstr>Customer</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2026-05-19T06:28:43Z</dcterms:created>
  <dcterms:modified xsi:type="dcterms:W3CDTF">2026-05-23T06:28:37Z</dcterms:modified>
</cp:coreProperties>
</file>